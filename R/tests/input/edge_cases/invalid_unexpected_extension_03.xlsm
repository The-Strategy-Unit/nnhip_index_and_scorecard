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defaultThemeVersion="202300"/>
  <mc:AlternateContent xmlns:mc="http://schemas.openxmlformats.org/markup-compatibility/2006">
    <mc:Choice Requires="x15">
      <x15ac:absPath xmlns:x15ac="http://schemas.microsoft.com/office/spreadsheetml/2010/11/ac" url="https://csucloudservices-my.sharepoint.com/personal/andre_bilbrough_mlcsu_nhs_uk/Documents/Documents/nnhip_index_and_scorecard/R/tests/input/edge_cases/"/>
    </mc:Choice>
  </mc:AlternateContent>
  <xr:revisionPtr revIDLastSave="3" documentId="8_{197A5642-D451-4AE3-BE49-6F7DF401D89B}" xr6:coauthVersionLast="47" xr6:coauthVersionMax="47" xr10:uidLastSave="{167E4FB2-4578-4EA3-850E-5880B4612305}"/>
  <bookViews>
    <workbookView xWindow="28680" yWindow="-120" windowWidth="29040" windowHeight="15720" activeTab="1" xr2:uid="{4A8AC64A-AEEC-4FD7-924B-33729FAE8CFD}"/>
  </bookViews>
  <sheets>
    <sheet name="Instructions" sheetId="3" r:id="rId1"/>
    <sheet name="SubmissionTemplate" sheetId="4" r:id="rId2"/>
    <sheet name="SubmissionTimetable" sheetId="5" r:id="rId3"/>
    <sheet name="Definitions" sheetId="6" r:id="rId4"/>
    <sheet name="AcuteNonElectiveDefs" sheetId="7" r:id="rId5"/>
    <sheet name="Lookups" sheetId="2"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4" l="1"/>
  <c r="D16" i="4" s="1"/>
  <c r="D15" i="4" s="1"/>
  <c r="D16" i="5"/>
  <c r="E16" i="5" s="1"/>
  <c r="F16" i="5" s="1"/>
  <c r="G16" i="5" s="1"/>
  <c r="D15" i="5"/>
  <c r="E15" i="5" s="1"/>
  <c r="F15" i="5" s="1"/>
  <c r="G15" i="5" s="1"/>
  <c r="D14" i="5"/>
  <c r="E14" i="5" s="1"/>
  <c r="F14" i="5" s="1"/>
  <c r="G14" i="5" s="1"/>
  <c r="D13" i="5"/>
  <c r="E13" i="5" s="1"/>
  <c r="F13" i="5" s="1"/>
  <c r="G13" i="5" s="1"/>
  <c r="D12" i="5"/>
  <c r="E12" i="5" s="1"/>
  <c r="F12" i="5" s="1"/>
  <c r="G12" i="5" s="1"/>
  <c r="D11" i="5"/>
  <c r="E11" i="5" s="1"/>
  <c r="F11" i="5" s="1"/>
  <c r="G11" i="5" s="1"/>
  <c r="D10" i="5"/>
  <c r="E10" i="5" s="1"/>
  <c r="F10" i="5" s="1"/>
  <c r="G10" i="5" s="1"/>
  <c r="D9" i="5"/>
  <c r="E9" i="5" s="1"/>
  <c r="F9" i="5" s="1"/>
  <c r="G9" i="5" s="1"/>
  <c r="D8" i="5"/>
  <c r="E8" i="5" s="1"/>
  <c r="F8" i="5" s="1"/>
  <c r="G8" i="5" s="1"/>
  <c r="D7" i="5"/>
  <c r="E7" i="5" s="1"/>
  <c r="F7" i="5" s="1"/>
  <c r="G7" i="5" s="1"/>
  <c r="D6" i="5"/>
  <c r="E6" i="5" s="1"/>
  <c r="F6" i="5" s="1"/>
  <c r="G6" i="5" s="1"/>
  <c r="D5" i="5"/>
  <c r="E5" i="5" s="1"/>
  <c r="F5" i="5" s="1"/>
  <c r="G5" i="5" s="1"/>
  <c r="D4" i="5"/>
  <c r="E4" i="5" s="1"/>
  <c r="F4" i="5" s="1"/>
  <c r="G4" i="5" s="1"/>
  <c r="D3" i="5"/>
  <c r="E3" i="5" s="1"/>
  <c r="F3" i="5" s="1"/>
  <c r="G3" i="5" s="1"/>
  <c r="D2" i="5"/>
  <c r="E2" i="5" s="1"/>
  <c r="F2" i="5" s="1"/>
  <c r="G2" i="5" s="1"/>
  <c r="B2" i="4"/>
  <c r="B1" i="4"/>
  <c r="D48" i="4" l="1"/>
  <c r="D17" i="4"/>
  <c r="D6" i="4"/>
  <c r="D10" i="4"/>
  <c r="D9" i="4" s="1"/>
  <c r="X7" i="4"/>
  <c r="W7" i="4"/>
  <c r="V7" i="4"/>
  <c r="U7" i="4"/>
  <c r="T7" i="4"/>
  <c r="T48" i="4" s="1"/>
  <c r="N7" i="4"/>
  <c r="N48" i="4" s="1"/>
  <c r="R7" i="4"/>
  <c r="Q7" i="4"/>
  <c r="P7" i="4"/>
  <c r="O7" i="4"/>
  <c r="L7" i="4"/>
  <c r="K7" i="4"/>
  <c r="J7" i="4"/>
  <c r="I7" i="4"/>
  <c r="H7" i="4"/>
  <c r="G7" i="4"/>
  <c r="F7" i="4"/>
  <c r="E7" i="4"/>
  <c r="D43" i="4"/>
  <c r="D22" i="4"/>
  <c r="D21" i="4" s="1"/>
  <c r="D25" i="4"/>
  <c r="D24" i="4" s="1"/>
  <c r="L10" i="4" l="1"/>
  <c r="L13" i="4" s="1"/>
  <c r="L48" i="4"/>
  <c r="O10" i="4"/>
  <c r="O13" i="4" s="1"/>
  <c r="O48" i="4"/>
  <c r="R10" i="4"/>
  <c r="R13" i="4" s="1"/>
  <c r="R48" i="4"/>
  <c r="U10" i="4"/>
  <c r="U13" i="4" s="1"/>
  <c r="U48" i="4"/>
  <c r="I10" i="4"/>
  <c r="I13" i="4" s="1"/>
  <c r="I48" i="4"/>
  <c r="E10" i="4"/>
  <c r="E13" i="4" s="1"/>
  <c r="E48" i="4"/>
  <c r="W10" i="4"/>
  <c r="W13" i="4" s="1"/>
  <c r="W48" i="4"/>
  <c r="F10" i="4"/>
  <c r="F13" i="4" s="1"/>
  <c r="F48" i="4"/>
  <c r="X10" i="4"/>
  <c r="X13" i="4" s="1"/>
  <c r="X48" i="4"/>
  <c r="J10" i="4"/>
  <c r="J13" i="4" s="1"/>
  <c r="J48" i="4"/>
  <c r="K10" i="4"/>
  <c r="K13" i="4" s="1"/>
  <c r="K48" i="4"/>
  <c r="P10" i="4"/>
  <c r="P13" i="4" s="1"/>
  <c r="P48" i="4"/>
  <c r="Q10" i="4"/>
  <c r="Q13" i="4" s="1"/>
  <c r="Q48" i="4"/>
  <c r="V10" i="4"/>
  <c r="V13" i="4" s="1"/>
  <c r="V48" i="4"/>
  <c r="G10" i="4"/>
  <c r="G13" i="4" s="1"/>
  <c r="G48" i="4"/>
  <c r="H10" i="4"/>
  <c r="H13" i="4" s="1"/>
  <c r="H48" i="4"/>
  <c r="D46" i="4"/>
  <c r="D45" i="4" s="1"/>
  <c r="D42" i="4"/>
  <c r="D44" i="4" s="1"/>
  <c r="N24" i="4"/>
  <c r="K24" i="4"/>
  <c r="I24" i="4"/>
  <c r="X24" i="4"/>
  <c r="E24" i="4"/>
  <c r="R24" i="4"/>
  <c r="O24" i="4"/>
  <c r="L24" i="4"/>
  <c r="H24" i="4"/>
  <c r="G24" i="4"/>
  <c r="V24" i="4"/>
  <c r="F24" i="4"/>
  <c r="T24" i="4"/>
  <c r="Q24" i="4"/>
  <c r="P24" i="4"/>
  <c r="J24" i="4"/>
  <c r="W24" i="4"/>
  <c r="U24" i="4"/>
  <c r="N21" i="4"/>
  <c r="O21" i="4"/>
  <c r="G21" i="4"/>
  <c r="U21" i="4"/>
  <c r="L21" i="4"/>
  <c r="K21" i="4"/>
  <c r="J21" i="4"/>
  <c r="I21" i="4"/>
  <c r="X21" i="4"/>
  <c r="H21" i="4"/>
  <c r="W21" i="4"/>
  <c r="V21" i="4"/>
  <c r="F21" i="4"/>
  <c r="E21" i="4"/>
  <c r="T21" i="4"/>
  <c r="R21" i="4"/>
  <c r="Q21" i="4"/>
  <c r="P21" i="4"/>
  <c r="I15" i="4"/>
  <c r="H15" i="4"/>
  <c r="W15" i="4"/>
  <c r="G15" i="4"/>
  <c r="F15" i="4"/>
  <c r="U15" i="4"/>
  <c r="E15" i="4"/>
  <c r="T15" i="4"/>
  <c r="Q15" i="4"/>
  <c r="P15" i="4"/>
  <c r="N15" i="4"/>
  <c r="L15" i="4"/>
  <c r="J15" i="4"/>
  <c r="X15" i="4"/>
  <c r="V15" i="4"/>
  <c r="R15" i="4"/>
  <c r="O15" i="4"/>
  <c r="K15" i="4"/>
  <c r="U9" i="4"/>
  <c r="T9" i="4"/>
  <c r="X9" i="4"/>
  <c r="X11" i="4" s="1"/>
  <c r="W9" i="4"/>
  <c r="V9" i="4"/>
  <c r="V11" i="4" s="1"/>
  <c r="V6" i="4"/>
  <c r="V8" i="4" s="1"/>
  <c r="U6" i="4"/>
  <c r="U8" i="4" s="1"/>
  <c r="W6" i="4"/>
  <c r="W8" i="4" s="1"/>
  <c r="X6" i="4"/>
  <c r="X8" i="4" s="1"/>
  <c r="T6" i="4"/>
  <c r="T8" i="4" s="1"/>
  <c r="R9" i="4"/>
  <c r="Q9" i="4"/>
  <c r="P9" i="4"/>
  <c r="O9" i="4"/>
  <c r="O11" i="4" s="1"/>
  <c r="N9" i="4"/>
  <c r="N6" i="4"/>
  <c r="N8" i="4" s="1"/>
  <c r="R6" i="4"/>
  <c r="R8" i="4" s="1"/>
  <c r="Q6" i="4"/>
  <c r="Q8" i="4" s="1"/>
  <c r="P6" i="4"/>
  <c r="P8" i="4" s="1"/>
  <c r="O6" i="4"/>
  <c r="O8" i="4" s="1"/>
  <c r="L9" i="4"/>
  <c r="L11" i="4" s="1"/>
  <c r="K9" i="4"/>
  <c r="I9" i="4"/>
  <c r="I11" i="4" s="1"/>
  <c r="G9" i="4"/>
  <c r="F9" i="4"/>
  <c r="J9" i="4"/>
  <c r="H9" i="4"/>
  <c r="E9" i="4"/>
  <c r="L6" i="4"/>
  <c r="L8" i="4" s="1"/>
  <c r="E6" i="4"/>
  <c r="E8" i="4" s="1"/>
  <c r="K6" i="4"/>
  <c r="K8" i="4" s="1"/>
  <c r="J6" i="4"/>
  <c r="J8" i="4" s="1"/>
  <c r="I6" i="4"/>
  <c r="I8" i="4" s="1"/>
  <c r="H6" i="4"/>
  <c r="H8" i="4" s="1"/>
  <c r="G6" i="4"/>
  <c r="G8" i="4" s="1"/>
  <c r="F6" i="4"/>
  <c r="F8" i="4" s="1"/>
  <c r="D13" i="4"/>
  <c r="D12" i="4" s="1"/>
  <c r="O19" i="4"/>
  <c r="P19" i="4"/>
  <c r="X19" i="4"/>
  <c r="L19" i="4"/>
  <c r="N16" i="4"/>
  <c r="N25" i="4" s="1"/>
  <c r="N40" i="4" s="1"/>
  <c r="N10" i="4"/>
  <c r="N13" i="4" s="1"/>
  <c r="Y7" i="4"/>
  <c r="T10" i="4"/>
  <c r="T13" i="4" s="1"/>
  <c r="V19" i="4"/>
  <c r="E19" i="4"/>
  <c r="M7" i="4"/>
  <c r="D19" i="4"/>
  <c r="D18" i="4" s="1"/>
  <c r="D11" i="4"/>
  <c r="S7" i="4"/>
  <c r="U43" i="4"/>
  <c r="U22" i="4"/>
  <c r="U16" i="4"/>
  <c r="V16" i="4"/>
  <c r="V43" i="4"/>
  <c r="V22" i="4"/>
  <c r="W22" i="4"/>
  <c r="W43" i="4"/>
  <c r="W16" i="4"/>
  <c r="X43" i="4"/>
  <c r="X16" i="4"/>
  <c r="X22" i="4"/>
  <c r="T43" i="4"/>
  <c r="T22" i="4"/>
  <c r="T16" i="4"/>
  <c r="R22" i="4"/>
  <c r="R16" i="4"/>
  <c r="R43" i="4"/>
  <c r="Q22" i="4"/>
  <c r="Q16" i="4"/>
  <c r="Q43" i="4"/>
  <c r="N22" i="4"/>
  <c r="N43" i="4"/>
  <c r="O22" i="4"/>
  <c r="O43" i="4"/>
  <c r="O16" i="4"/>
  <c r="P22" i="4"/>
  <c r="P16" i="4"/>
  <c r="P43" i="4"/>
  <c r="F22" i="4"/>
  <c r="F43" i="4"/>
  <c r="F16" i="4"/>
  <c r="G43" i="4"/>
  <c r="G22" i="4"/>
  <c r="G16" i="4"/>
  <c r="H22" i="4"/>
  <c r="H43" i="4"/>
  <c r="H16" i="4"/>
  <c r="J16" i="4"/>
  <c r="J22" i="4"/>
  <c r="J43" i="4"/>
  <c r="K16" i="4"/>
  <c r="K43" i="4"/>
  <c r="K22" i="4"/>
  <c r="I43" i="4"/>
  <c r="I16" i="4"/>
  <c r="I22" i="4"/>
  <c r="L43" i="4"/>
  <c r="L22" i="4"/>
  <c r="L16" i="4"/>
  <c r="E43" i="4"/>
  <c r="E22" i="4"/>
  <c r="E16" i="4"/>
  <c r="D8" i="4"/>
  <c r="D23" i="4"/>
  <c r="D37" i="4"/>
  <c r="D31" i="4"/>
  <c r="D26" i="4"/>
  <c r="D34" i="4"/>
  <c r="D40" i="4"/>
  <c r="J11" i="4" l="1"/>
  <c r="J19" i="4"/>
  <c r="R19" i="4"/>
  <c r="R28" i="4" s="1"/>
  <c r="W19" i="4"/>
  <c r="F19" i="4"/>
  <c r="F28" i="4" s="1"/>
  <c r="H19" i="4"/>
  <c r="H28" i="4" s="1"/>
  <c r="K11" i="4"/>
  <c r="K19" i="4"/>
  <c r="U19" i="4"/>
  <c r="G11" i="4"/>
  <c r="W11" i="4"/>
  <c r="Q19" i="4"/>
  <c r="Q11" i="4"/>
  <c r="R11" i="4"/>
  <c r="I19" i="4"/>
  <c r="I28" i="4" s="1"/>
  <c r="Y10" i="4"/>
  <c r="Y13" i="4" s="1"/>
  <c r="Y48" i="4"/>
  <c r="U11" i="4"/>
  <c r="S10" i="4"/>
  <c r="S13" i="4" s="1"/>
  <c r="S48" i="4"/>
  <c r="P11" i="4"/>
  <c r="H11" i="4"/>
  <c r="M10" i="4"/>
  <c r="M13" i="4" s="1"/>
  <c r="M48" i="4"/>
  <c r="G19" i="4"/>
  <c r="G28" i="4" s="1"/>
  <c r="F11" i="4"/>
  <c r="I42" i="4"/>
  <c r="I44" i="4" s="1"/>
  <c r="X42" i="4"/>
  <c r="X44" i="4" s="1"/>
  <c r="H42" i="4"/>
  <c r="H44" i="4" s="1"/>
  <c r="T42" i="4"/>
  <c r="T44" i="4" s="1"/>
  <c r="R42" i="4"/>
  <c r="R44" i="4" s="1"/>
  <c r="Q42" i="4"/>
  <c r="Q44" i="4" s="1"/>
  <c r="P42" i="4"/>
  <c r="P44" i="4" s="1"/>
  <c r="O42" i="4"/>
  <c r="O44" i="4" s="1"/>
  <c r="N42" i="4"/>
  <c r="N44" i="4" s="1"/>
  <c r="L42" i="4"/>
  <c r="L44" i="4" s="1"/>
  <c r="K42" i="4"/>
  <c r="K44" i="4" s="1"/>
  <c r="W42" i="4"/>
  <c r="W44" i="4" s="1"/>
  <c r="G42" i="4"/>
  <c r="V42" i="4"/>
  <c r="V44" i="4" s="1"/>
  <c r="F42" i="4"/>
  <c r="F44" i="4" s="1"/>
  <c r="U42" i="4"/>
  <c r="U44" i="4" s="1"/>
  <c r="E42" i="4"/>
  <c r="E44" i="4" s="1"/>
  <c r="J42" i="4"/>
  <c r="J44" i="4" s="1"/>
  <c r="D39" i="4"/>
  <c r="D41" i="4" s="1"/>
  <c r="D36" i="4"/>
  <c r="D33" i="4"/>
  <c r="S24" i="4"/>
  <c r="D30" i="4"/>
  <c r="Y24" i="4"/>
  <c r="M24" i="4"/>
  <c r="S21" i="4"/>
  <c r="M21" i="4"/>
  <c r="Y21" i="4"/>
  <c r="S15" i="4"/>
  <c r="I18" i="4"/>
  <c r="X18" i="4"/>
  <c r="X20" i="4" s="1"/>
  <c r="H18" i="4"/>
  <c r="G18" i="4"/>
  <c r="V18" i="4"/>
  <c r="V20" i="4" s="1"/>
  <c r="F18" i="4"/>
  <c r="F20" i="4" s="1"/>
  <c r="U18" i="4"/>
  <c r="E18" i="4"/>
  <c r="E20" i="4" s="1"/>
  <c r="T18" i="4"/>
  <c r="W18" i="4"/>
  <c r="Q18" i="4"/>
  <c r="P18" i="4"/>
  <c r="P20" i="4" s="1"/>
  <c r="N18" i="4"/>
  <c r="L18" i="4"/>
  <c r="L20" i="4" s="1"/>
  <c r="K18" i="4"/>
  <c r="J18" i="4"/>
  <c r="J20" i="4" s="1"/>
  <c r="O18" i="4"/>
  <c r="O20" i="4" s="1"/>
  <c r="R18" i="4"/>
  <c r="R20" i="4" s="1"/>
  <c r="Y15" i="4"/>
  <c r="M15" i="4"/>
  <c r="Y9" i="4"/>
  <c r="Y6" i="4"/>
  <c r="Y8" i="4" s="1"/>
  <c r="S9" i="4"/>
  <c r="S6" i="4"/>
  <c r="S8" i="4" s="1"/>
  <c r="M9" i="4"/>
  <c r="M6" i="4"/>
  <c r="M8" i="4" s="1"/>
  <c r="E11" i="4"/>
  <c r="N17" i="4"/>
  <c r="Y16" i="4"/>
  <c r="Y22" i="4"/>
  <c r="Y31" i="4" s="1"/>
  <c r="N26" i="4"/>
  <c r="E28" i="4"/>
  <c r="V28" i="4"/>
  <c r="U28" i="4"/>
  <c r="Y43" i="4"/>
  <c r="Y46" i="4" s="1"/>
  <c r="J28" i="4"/>
  <c r="S19" i="4"/>
  <c r="T11" i="4"/>
  <c r="T19" i="4"/>
  <c r="X28" i="4"/>
  <c r="K28" i="4"/>
  <c r="N19" i="4"/>
  <c r="N11" i="4"/>
  <c r="P28" i="4"/>
  <c r="W28" i="4"/>
  <c r="L28" i="4"/>
  <c r="N34" i="4"/>
  <c r="O28" i="4"/>
  <c r="Q28" i="4"/>
  <c r="M16" i="4"/>
  <c r="D20" i="4"/>
  <c r="D28" i="4"/>
  <c r="X37" i="4"/>
  <c r="X31" i="4"/>
  <c r="X23" i="4"/>
  <c r="X46" i="4"/>
  <c r="W17" i="4"/>
  <c r="W25" i="4"/>
  <c r="X17" i="4"/>
  <c r="X25" i="4"/>
  <c r="W46" i="4"/>
  <c r="W31" i="4"/>
  <c r="W23" i="4"/>
  <c r="W37" i="4"/>
  <c r="V31" i="4"/>
  <c r="V23" i="4"/>
  <c r="V37" i="4"/>
  <c r="V46" i="4"/>
  <c r="V25" i="4"/>
  <c r="V17" i="4"/>
  <c r="U17" i="4"/>
  <c r="U25" i="4"/>
  <c r="U23" i="4"/>
  <c r="U31" i="4"/>
  <c r="U37" i="4"/>
  <c r="U46" i="4"/>
  <c r="T25" i="4"/>
  <c r="T17" i="4"/>
  <c r="T23" i="4"/>
  <c r="T37" i="4"/>
  <c r="T31" i="4"/>
  <c r="T46" i="4"/>
  <c r="S43" i="4"/>
  <c r="S16" i="4"/>
  <c r="S22" i="4"/>
  <c r="P46" i="4"/>
  <c r="P17" i="4"/>
  <c r="P25" i="4"/>
  <c r="R46" i="4"/>
  <c r="R25" i="4"/>
  <c r="R17" i="4"/>
  <c r="O25" i="4"/>
  <c r="O17" i="4"/>
  <c r="O37" i="4"/>
  <c r="O31" i="4"/>
  <c r="O23" i="4"/>
  <c r="N46" i="4"/>
  <c r="N37" i="4"/>
  <c r="N23" i="4"/>
  <c r="N31" i="4"/>
  <c r="Q46" i="4"/>
  <c r="Q17" i="4"/>
  <c r="Q25" i="4"/>
  <c r="R37" i="4"/>
  <c r="R31" i="4"/>
  <c r="R23" i="4"/>
  <c r="P23" i="4"/>
  <c r="P31" i="4"/>
  <c r="P37" i="4"/>
  <c r="O46" i="4"/>
  <c r="Q23" i="4"/>
  <c r="Q37" i="4"/>
  <c r="Q31" i="4"/>
  <c r="M22" i="4"/>
  <c r="M43" i="4"/>
  <c r="I46" i="4"/>
  <c r="K46" i="4"/>
  <c r="J46" i="4"/>
  <c r="K37" i="4"/>
  <c r="K23" i="4"/>
  <c r="K31" i="4"/>
  <c r="K17" i="4"/>
  <c r="K25" i="4"/>
  <c r="J31" i="4"/>
  <c r="J23" i="4"/>
  <c r="J37" i="4"/>
  <c r="J25" i="4"/>
  <c r="J17" i="4"/>
  <c r="H17" i="4"/>
  <c r="H25" i="4"/>
  <c r="H46" i="4"/>
  <c r="H37" i="4"/>
  <c r="H23" i="4"/>
  <c r="H31" i="4"/>
  <c r="G17" i="4"/>
  <c r="G25" i="4"/>
  <c r="L17" i="4"/>
  <c r="L25" i="4"/>
  <c r="G31" i="4"/>
  <c r="G23" i="4"/>
  <c r="G37" i="4"/>
  <c r="L37" i="4"/>
  <c r="L31" i="4"/>
  <c r="L23" i="4"/>
  <c r="G46" i="4"/>
  <c r="L46" i="4"/>
  <c r="F17" i="4"/>
  <c r="F25" i="4"/>
  <c r="I37" i="4"/>
  <c r="I31" i="4"/>
  <c r="I23" i="4"/>
  <c r="F46" i="4"/>
  <c r="I17" i="4"/>
  <c r="I25" i="4"/>
  <c r="F31" i="4"/>
  <c r="F23" i="4"/>
  <c r="F37" i="4"/>
  <c r="E17" i="4"/>
  <c r="E25" i="4"/>
  <c r="E23" i="4"/>
  <c r="E37" i="4"/>
  <c r="E31" i="4"/>
  <c r="E46" i="4"/>
  <c r="H20" i="4" l="1"/>
  <c r="W20" i="4"/>
  <c r="M19" i="4"/>
  <c r="I20" i="4"/>
  <c r="Y11" i="4"/>
  <c r="Q20" i="4"/>
  <c r="Y19" i="4"/>
  <c r="K20" i="4"/>
  <c r="U20" i="4"/>
  <c r="M11" i="4"/>
  <c r="S11" i="4"/>
  <c r="G20" i="4"/>
  <c r="M42" i="4"/>
  <c r="M44" i="4" s="1"/>
  <c r="Y42" i="4"/>
  <c r="Y44" i="4" s="1"/>
  <c r="X45" i="4"/>
  <c r="X47" i="4" s="1"/>
  <c r="H45" i="4"/>
  <c r="H47" i="4" s="1"/>
  <c r="G45" i="4"/>
  <c r="G47" i="4" s="1"/>
  <c r="V45" i="4"/>
  <c r="V47" i="4" s="1"/>
  <c r="F45" i="4"/>
  <c r="F47" i="4" s="1"/>
  <c r="U45" i="4"/>
  <c r="U47" i="4" s="1"/>
  <c r="E45" i="4"/>
  <c r="E47" i="4" s="1"/>
  <c r="T45" i="4"/>
  <c r="T47" i="4" s="1"/>
  <c r="R45" i="4"/>
  <c r="R47" i="4" s="1"/>
  <c r="W45" i="4"/>
  <c r="W47" i="4" s="1"/>
  <c r="O45" i="4"/>
  <c r="O47" i="4" s="1"/>
  <c r="N45" i="4"/>
  <c r="N47" i="4" s="1"/>
  <c r="L45" i="4"/>
  <c r="L47" i="4" s="1"/>
  <c r="K45" i="4"/>
  <c r="K47" i="4" s="1"/>
  <c r="J45" i="4"/>
  <c r="J47" i="4" s="1"/>
  <c r="I45" i="4"/>
  <c r="I47" i="4" s="1"/>
  <c r="Q45" i="4"/>
  <c r="Q47" i="4" s="1"/>
  <c r="P45" i="4"/>
  <c r="P47" i="4" s="1"/>
  <c r="D47" i="4"/>
  <c r="S42" i="4"/>
  <c r="S44" i="4" s="1"/>
  <c r="G44" i="4"/>
  <c r="X39" i="4"/>
  <c r="H39" i="4"/>
  <c r="G39" i="4"/>
  <c r="F39" i="4"/>
  <c r="U39" i="4"/>
  <c r="E39" i="4"/>
  <c r="T39" i="4"/>
  <c r="W39" i="4"/>
  <c r="R39" i="4"/>
  <c r="Q39" i="4"/>
  <c r="P39" i="4"/>
  <c r="O39" i="4"/>
  <c r="N39" i="4"/>
  <c r="N41" i="4" s="1"/>
  <c r="L39" i="4"/>
  <c r="J39" i="4"/>
  <c r="I39" i="4"/>
  <c r="V39" i="4"/>
  <c r="K39" i="4"/>
  <c r="M23" i="4"/>
  <c r="I36" i="4"/>
  <c r="I38" i="4" s="1"/>
  <c r="H36" i="4"/>
  <c r="H38" i="4" s="1"/>
  <c r="W36" i="4"/>
  <c r="W38" i="4" s="1"/>
  <c r="G36" i="4"/>
  <c r="G38" i="4" s="1"/>
  <c r="V36" i="4"/>
  <c r="V38" i="4" s="1"/>
  <c r="F36" i="4"/>
  <c r="F38" i="4" s="1"/>
  <c r="L36" i="4"/>
  <c r="L38" i="4" s="1"/>
  <c r="J36" i="4"/>
  <c r="J38" i="4" s="1"/>
  <c r="X36" i="4"/>
  <c r="X38" i="4" s="1"/>
  <c r="U36" i="4"/>
  <c r="U38" i="4" s="1"/>
  <c r="E36" i="4"/>
  <c r="E38" i="4" s="1"/>
  <c r="T36" i="4"/>
  <c r="R36" i="4"/>
  <c r="R38" i="4" s="1"/>
  <c r="Q36" i="4"/>
  <c r="Q38" i="4" s="1"/>
  <c r="P36" i="4"/>
  <c r="P38" i="4" s="1"/>
  <c r="O36" i="4"/>
  <c r="O38" i="4" s="1"/>
  <c r="N36" i="4"/>
  <c r="N38" i="4" s="1"/>
  <c r="K36" i="4"/>
  <c r="K38" i="4" s="1"/>
  <c r="D38" i="4"/>
  <c r="X33" i="4"/>
  <c r="W33" i="4"/>
  <c r="U33" i="4"/>
  <c r="E33" i="4"/>
  <c r="T33" i="4"/>
  <c r="R33" i="4"/>
  <c r="Q33" i="4"/>
  <c r="P33" i="4"/>
  <c r="N33" i="4"/>
  <c r="N35" i="4" s="1"/>
  <c r="L33" i="4"/>
  <c r="K33" i="4"/>
  <c r="J33" i="4"/>
  <c r="I33" i="4"/>
  <c r="H33" i="4"/>
  <c r="G33" i="4"/>
  <c r="V33" i="4"/>
  <c r="F33" i="4"/>
  <c r="O33" i="4"/>
  <c r="D35" i="4"/>
  <c r="I30" i="4"/>
  <c r="I32" i="4" s="1"/>
  <c r="X30" i="4"/>
  <c r="X32" i="4" s="1"/>
  <c r="H30" i="4"/>
  <c r="H32" i="4" s="1"/>
  <c r="W30" i="4"/>
  <c r="W32" i="4" s="1"/>
  <c r="G30" i="4"/>
  <c r="G32" i="4" s="1"/>
  <c r="V30" i="4"/>
  <c r="V32" i="4" s="1"/>
  <c r="F30" i="4"/>
  <c r="F32" i="4" s="1"/>
  <c r="O30" i="4"/>
  <c r="O32" i="4" s="1"/>
  <c r="U30" i="4"/>
  <c r="U32" i="4" s="1"/>
  <c r="E30" i="4"/>
  <c r="E32" i="4" s="1"/>
  <c r="R30" i="4"/>
  <c r="R32" i="4" s="1"/>
  <c r="P30" i="4"/>
  <c r="P32" i="4" s="1"/>
  <c r="L30" i="4"/>
  <c r="L32" i="4" s="1"/>
  <c r="J30" i="4"/>
  <c r="J32" i="4" s="1"/>
  <c r="T30" i="4"/>
  <c r="T32" i="4" s="1"/>
  <c r="Q30" i="4"/>
  <c r="Q32" i="4" s="1"/>
  <c r="K30" i="4"/>
  <c r="K32" i="4" s="1"/>
  <c r="N30" i="4"/>
  <c r="N32" i="4" s="1"/>
  <c r="D32" i="4"/>
  <c r="D27" i="4"/>
  <c r="Y17" i="4"/>
  <c r="M18" i="4"/>
  <c r="Y18" i="4"/>
  <c r="M17" i="4"/>
  <c r="S18" i="4"/>
  <c r="S20" i="4" s="1"/>
  <c r="I12" i="4"/>
  <c r="I14" i="4" s="1"/>
  <c r="X12" i="4"/>
  <c r="X14" i="4" s="1"/>
  <c r="H12" i="4"/>
  <c r="H14" i="4" s="1"/>
  <c r="W12" i="4"/>
  <c r="W14" i="4" s="1"/>
  <c r="G12" i="4"/>
  <c r="G14" i="4" s="1"/>
  <c r="V12" i="4"/>
  <c r="V14" i="4" s="1"/>
  <c r="F12" i="4"/>
  <c r="F14" i="4" s="1"/>
  <c r="U12" i="4"/>
  <c r="U14" i="4" s="1"/>
  <c r="E12" i="4"/>
  <c r="E14" i="4" s="1"/>
  <c r="T12" i="4"/>
  <c r="T14" i="4" s="1"/>
  <c r="L12" i="4"/>
  <c r="L14" i="4" s="1"/>
  <c r="J12" i="4"/>
  <c r="J14" i="4" s="1"/>
  <c r="Q12" i="4"/>
  <c r="Q14" i="4" s="1"/>
  <c r="R12" i="4"/>
  <c r="R14" i="4" s="1"/>
  <c r="P12" i="4"/>
  <c r="P14" i="4" s="1"/>
  <c r="O12" i="4"/>
  <c r="O14" i="4" s="1"/>
  <c r="N12" i="4"/>
  <c r="N14" i="4" s="1"/>
  <c r="K12" i="4"/>
  <c r="K14" i="4" s="1"/>
  <c r="D14" i="4"/>
  <c r="Y37" i="4"/>
  <c r="Y25" i="4"/>
  <c r="Y26" i="4" s="1"/>
  <c r="Y23" i="4"/>
  <c r="T20" i="4"/>
  <c r="T28" i="4"/>
  <c r="M28" i="4"/>
  <c r="Y28" i="4"/>
  <c r="S28" i="4"/>
  <c r="N20" i="4"/>
  <c r="N28" i="4"/>
  <c r="M25" i="4"/>
  <c r="M26" i="4" s="1"/>
  <c r="V40" i="4"/>
  <c r="V26" i="4"/>
  <c r="V34" i="4"/>
  <c r="X26" i="4"/>
  <c r="X34" i="4"/>
  <c r="X40" i="4"/>
  <c r="U26" i="4"/>
  <c r="U40" i="4"/>
  <c r="U34" i="4"/>
  <c r="W26" i="4"/>
  <c r="W34" i="4"/>
  <c r="W40" i="4"/>
  <c r="T26" i="4"/>
  <c r="T34" i="4"/>
  <c r="T40" i="4"/>
  <c r="S23" i="4"/>
  <c r="S37" i="4"/>
  <c r="S31" i="4"/>
  <c r="S17" i="4"/>
  <c r="S25" i="4"/>
  <c r="S46" i="4"/>
  <c r="M37" i="4"/>
  <c r="R40" i="4"/>
  <c r="R34" i="4"/>
  <c r="R26" i="4"/>
  <c r="Q40" i="4"/>
  <c r="Q26" i="4"/>
  <c r="Q34" i="4"/>
  <c r="M31" i="4"/>
  <c r="O40" i="4"/>
  <c r="O26" i="4"/>
  <c r="O34" i="4"/>
  <c r="P40" i="4"/>
  <c r="P26" i="4"/>
  <c r="P34" i="4"/>
  <c r="M46" i="4"/>
  <c r="G34" i="4"/>
  <c r="G26" i="4"/>
  <c r="G40" i="4"/>
  <c r="I26" i="4"/>
  <c r="I34" i="4"/>
  <c r="I40" i="4"/>
  <c r="K34" i="4"/>
  <c r="K40" i="4"/>
  <c r="K26" i="4"/>
  <c r="H40" i="4"/>
  <c r="H26" i="4"/>
  <c r="H34" i="4"/>
  <c r="J34" i="4"/>
  <c r="J40" i="4"/>
  <c r="J26" i="4"/>
  <c r="L40" i="4"/>
  <c r="L26" i="4"/>
  <c r="L34" i="4"/>
  <c r="F40" i="4"/>
  <c r="F26" i="4"/>
  <c r="F34" i="4"/>
  <c r="E26" i="4"/>
  <c r="E34" i="4"/>
  <c r="E40" i="4"/>
  <c r="Y20" i="4" l="1"/>
  <c r="M20" i="4"/>
  <c r="R41" i="4"/>
  <c r="U41" i="4"/>
  <c r="F41" i="4"/>
  <c r="G41" i="4"/>
  <c r="H41" i="4"/>
  <c r="S45" i="4"/>
  <c r="S47" i="4" s="1"/>
  <c r="K41" i="4"/>
  <c r="I41" i="4"/>
  <c r="Y45" i="4"/>
  <c r="Y47" i="4" s="1"/>
  <c r="R35" i="4"/>
  <c r="X41" i="4"/>
  <c r="J41" i="4"/>
  <c r="M39" i="4"/>
  <c r="M45" i="4"/>
  <c r="M47" i="4" s="1"/>
  <c r="V41" i="4"/>
  <c r="Y39" i="4"/>
  <c r="L41" i="4"/>
  <c r="P41" i="4"/>
  <c r="S39" i="4"/>
  <c r="O41" i="4"/>
  <c r="E41" i="4"/>
  <c r="W41" i="4"/>
  <c r="Q41" i="4"/>
  <c r="T41" i="4"/>
  <c r="M36" i="4"/>
  <c r="M38" i="4" s="1"/>
  <c r="V35" i="4"/>
  <c r="S36" i="4"/>
  <c r="S38" i="4" s="1"/>
  <c r="W35" i="4"/>
  <c r="Y36" i="4"/>
  <c r="Y38" i="4" s="1"/>
  <c r="F35" i="4"/>
  <c r="U35" i="4"/>
  <c r="Y33" i="4"/>
  <c r="T38" i="4"/>
  <c r="O35" i="4"/>
  <c r="T35" i="4"/>
  <c r="E35" i="4"/>
  <c r="M33" i="4"/>
  <c r="L35" i="4"/>
  <c r="G35" i="4"/>
  <c r="P35" i="4"/>
  <c r="I35" i="4"/>
  <c r="X35" i="4"/>
  <c r="J35" i="4"/>
  <c r="Y30" i="4"/>
  <c r="Y32" i="4" s="1"/>
  <c r="S33" i="4"/>
  <c r="Q35" i="4"/>
  <c r="K35" i="4"/>
  <c r="H35" i="4"/>
  <c r="M30" i="4"/>
  <c r="M32" i="4" s="1"/>
  <c r="S30" i="4"/>
  <c r="S32" i="4" s="1"/>
  <c r="W27" i="4"/>
  <c r="W29" i="4" s="1"/>
  <c r="U27" i="4"/>
  <c r="U29" i="4" s="1"/>
  <c r="T27" i="4"/>
  <c r="T29" i="4" s="1"/>
  <c r="Q27" i="4"/>
  <c r="Q29" i="4" s="1"/>
  <c r="P27" i="4"/>
  <c r="P29" i="4" s="1"/>
  <c r="O27" i="4"/>
  <c r="O29" i="4" s="1"/>
  <c r="N27" i="4"/>
  <c r="L27" i="4"/>
  <c r="L29" i="4" s="1"/>
  <c r="K27" i="4"/>
  <c r="K29" i="4" s="1"/>
  <c r="J27" i="4"/>
  <c r="J29" i="4" s="1"/>
  <c r="I27" i="4"/>
  <c r="I29" i="4" s="1"/>
  <c r="X27" i="4"/>
  <c r="X29" i="4" s="1"/>
  <c r="H27" i="4"/>
  <c r="H29" i="4" s="1"/>
  <c r="G27" i="4"/>
  <c r="G29" i="4" s="1"/>
  <c r="V27" i="4"/>
  <c r="V29" i="4" s="1"/>
  <c r="F27" i="4"/>
  <c r="F29" i="4" s="1"/>
  <c r="E27" i="4"/>
  <c r="E29" i="4" s="1"/>
  <c r="R27" i="4"/>
  <c r="R29" i="4" s="1"/>
  <c r="D29" i="4"/>
  <c r="S12" i="4"/>
  <c r="S14" i="4" s="1"/>
  <c r="M12" i="4"/>
  <c r="M14" i="4" s="1"/>
  <c r="Y12" i="4"/>
  <c r="Y14" i="4" s="1"/>
  <c r="Y40" i="4"/>
  <c r="Y34" i="4"/>
  <c r="M40" i="4"/>
  <c r="M34" i="4"/>
  <c r="S40" i="4"/>
  <c r="S26" i="4"/>
  <c r="S34" i="4"/>
  <c r="S41" i="4" l="1"/>
  <c r="M41" i="4"/>
  <c r="Y41" i="4"/>
  <c r="M35" i="4"/>
  <c r="Y35" i="4"/>
  <c r="S35" i="4"/>
  <c r="S27" i="4"/>
  <c r="S29" i="4" s="1"/>
  <c r="N29" i="4"/>
  <c r="Y27" i="4"/>
  <c r="Y29" i="4" s="1"/>
  <c r="M27" i="4"/>
  <c r="M29" i="4" s="1"/>
</calcChain>
</file>

<file path=xl/sharedStrings.xml><?xml version="1.0" encoding="utf-8"?>
<sst xmlns="http://schemas.openxmlformats.org/spreadsheetml/2006/main" count="255" uniqueCount="178">
  <si>
    <t>Total</t>
  </si>
  <si>
    <t>Age Group</t>
  </si>
  <si>
    <t>18-19</t>
  </si>
  <si>
    <t>20-29</t>
  </si>
  <si>
    <t>30-39</t>
  </si>
  <si>
    <t>40-49</t>
  </si>
  <si>
    <t>50-59</t>
  </si>
  <si>
    <t>60-69</t>
  </si>
  <si>
    <t>70-79</t>
  </si>
  <si>
    <t>Ethnic Group</t>
  </si>
  <si>
    <t>Deprivation Quintile</t>
  </si>
  <si>
    <t>White</t>
  </si>
  <si>
    <t>Black</t>
  </si>
  <si>
    <t>Asian</t>
  </si>
  <si>
    <t>Mixed</t>
  </si>
  <si>
    <t>Other</t>
  </si>
  <si>
    <t>Not known</t>
  </si>
  <si>
    <t>Not Known</t>
  </si>
  <si>
    <t>Metric Id</t>
  </si>
  <si>
    <t>Metric Details</t>
  </si>
  <si>
    <t>Metric Type</t>
  </si>
  <si>
    <t>O1</t>
  </si>
  <si>
    <t>O2</t>
  </si>
  <si>
    <t>O3</t>
  </si>
  <si>
    <t>O4</t>
  </si>
  <si>
    <t>Number of patients in the cohort</t>
  </si>
  <si>
    <t>Outcome</t>
  </si>
  <si>
    <t>Number of inpatient bed days per 1,000 patients in the cohort</t>
  </si>
  <si>
    <t>Project Name</t>
  </si>
  <si>
    <t>Submission Period</t>
  </si>
  <si>
    <t>Project name</t>
  </si>
  <si>
    <t>Month</t>
  </si>
  <si>
    <t>P1</t>
  </si>
  <si>
    <t>Process</t>
  </si>
  <si>
    <t>Number of patients on the NNHIP caseload</t>
  </si>
  <si>
    <t>O5</t>
  </si>
  <si>
    <t>O6</t>
  </si>
  <si>
    <t>Worksheet</t>
  </si>
  <si>
    <t>Description</t>
  </si>
  <si>
    <t>Metric</t>
  </si>
  <si>
    <t>Demographic factor</t>
  </si>
  <si>
    <t>The metrics need to be split by three demographics factors. These are:</t>
  </si>
  <si>
    <t>Fenland and Peterborough within the North Cambridgeshire and Peterborough Care Partnership</t>
  </si>
  <si>
    <t>Ipswich and East Suffolk</t>
  </si>
  <si>
    <t>North East Essex</t>
  </si>
  <si>
    <t>South and West Hertfordshire (Dacorum and Hertsmere)</t>
  </si>
  <si>
    <t>West Essex</t>
  </si>
  <si>
    <t>West Suffolk</t>
  </si>
  <si>
    <t>Barking and Dagenham</t>
  </si>
  <si>
    <t>Croydon</t>
  </si>
  <si>
    <t>Hillingdon</t>
  </si>
  <si>
    <t>Kensington, Chelsea and Westminster (Bi-Borough)</t>
  </si>
  <si>
    <t>Lambeth and Southwark</t>
  </si>
  <si>
    <t>Coventry</t>
  </si>
  <si>
    <t>East Birmingham</t>
  </si>
  <si>
    <t>Herefordshire</t>
  </si>
  <si>
    <t>Leicestershire (West)</t>
  </si>
  <si>
    <t>Nottingham City</t>
  </si>
  <si>
    <t>Shropshire</t>
  </si>
  <si>
    <t>Solihull</t>
  </si>
  <si>
    <t>Walsall</t>
  </si>
  <si>
    <t>Bradford and Craven (Bradford South, Keighley and Airedale)</t>
  </si>
  <si>
    <t>Doncaster</t>
  </si>
  <si>
    <t>Leeds (Hatch, South, East)</t>
  </si>
  <si>
    <t>North East Lincolnshire</t>
  </si>
  <si>
    <t>Rotherham</t>
  </si>
  <si>
    <t>Stockton</t>
  </si>
  <si>
    <t>Sunderland</t>
  </si>
  <si>
    <t>Wakefield</t>
  </si>
  <si>
    <t>Blackburn and Darwen</t>
  </si>
  <si>
    <t>Morecambe Bay</t>
  </si>
  <si>
    <t>Rochdale</t>
  </si>
  <si>
    <t>Sefton</t>
  </si>
  <si>
    <t>St Helens</t>
  </si>
  <si>
    <t>Stockport</t>
  </si>
  <si>
    <t>Buckinghamshire (North, High Wycombe, Marlow Beaconsfield)</t>
  </si>
  <si>
    <t>East Berkshire and Slough</t>
  </si>
  <si>
    <t>East Kent</t>
  </si>
  <si>
    <t>East Surrey (Surrey Downs)</t>
  </si>
  <si>
    <t>East Sussex (Hastings and Rother)</t>
  </si>
  <si>
    <t>Portsmouth</t>
  </si>
  <si>
    <t>Bristol (South Bristol)</t>
  </si>
  <si>
    <t>Cornwall and The Isles Of Scilly</t>
  </si>
  <si>
    <t xml:space="preserve">Dorset Place </t>
  </si>
  <si>
    <t>Woodspring</t>
  </si>
  <si>
    <t>Collects the data for you local NNHIP cohort for the current reporting month</t>
  </si>
  <si>
    <t>Ten year age groups based on the persons age at the time of intervention</t>
  </si>
  <si>
    <t>Broad ethnic groups based on the persons recorded ethnic group at the time of intervention</t>
  </si>
  <si>
    <t>Index of Multiple Deprivation (IMD) quintiles based on the persons home postcode, aggregated to Lower Super Output Area (LSOA), at the time of intervention (1 = most deprived 20% of the English population and 5 = least deprived 20% of the English population). The published data is grouped by decile. These will need to be grouped again to create quintile. For example, decile 1 + decile 2 = quintile 1. Data on the latest IMD can be found here - https://www.gov.uk/government/statistics/english-indices-of-deprivation-2019</t>
  </si>
  <si>
    <t>Number of inpatient bed days</t>
  </si>
  <si>
    <t>Number of ambulance conveyances</t>
  </si>
  <si>
    <t>Number of A&amp;E attendances</t>
  </si>
  <si>
    <t>Number of general practice appointments</t>
  </si>
  <si>
    <t xml:space="preserve">Number of active cases the Place is actively working with during the month. This should not be the whole NNHIP cohort. </t>
  </si>
  <si>
    <t>Please select your project and the current submission period before completing the other templates from the lookups below:</t>
  </si>
  <si>
    <t>NNHIP Data Collection Template</t>
  </si>
  <si>
    <t>Number of patients that have been identified as meeting the criteria based on your local definition</t>
  </si>
  <si>
    <t>Reporting period start</t>
  </si>
  <si>
    <t>Reporting period end</t>
  </si>
  <si>
    <t>Initial submission date</t>
  </si>
  <si>
    <t>Initial report due</t>
  </si>
  <si>
    <t>Data second submission date</t>
  </si>
  <si>
    <t>Final report date</t>
  </si>
  <si>
    <t>Number of appointments in general practice and Primary Care Networks per 1,000 patients in the cohort</t>
  </si>
  <si>
    <t>Number of Community Care Contacts attended per 1,000 patients in the cohort</t>
  </si>
  <si>
    <t>Number of Community Care Contacts attended for patients in the cohort</t>
  </si>
  <si>
    <t>Number of A&amp;E attendances at a type 1 department  per 1,000 patients in the cohort</t>
  </si>
  <si>
    <t>Number of A&amp;E attendances at a type 1 department in the cohort</t>
  </si>
  <si>
    <t>Number of A&amp;E attendances at an other type department in the cohort</t>
  </si>
  <si>
    <t>Number of A&amp;E attendances at an other type department  per 1,000 patients in the cohort</t>
  </si>
  <si>
    <t>Number of new consultant-led outpatient appointments  per 1,000 patients in the cohort</t>
  </si>
  <si>
    <t>(new, follow up and outpatient procedures)</t>
  </si>
  <si>
    <t>Number of new consultant-led outpatient appointments for patients in the cohort</t>
  </si>
  <si>
    <t>Number of  consultant-led outpatient procedures  for patients in the cohort</t>
  </si>
  <si>
    <t>Number of  consultant-led outpatient procedures   per 1,000 patients in the cohort</t>
  </si>
  <si>
    <t>Number of follow up consultant-led outpatient appointments for patients in the cohort</t>
  </si>
  <si>
    <t>Number of follow up consultant-led outpatient appointments  per 1,000 patients in the cohort</t>
  </si>
  <si>
    <t>Number of specific acute non-elective spells in the period with a length of stay of zero days per 1,000 patients in the cohort</t>
  </si>
  <si>
    <t>Number of specific acute non-elective spells in the period with a length of stay of zero days for patients in the cohort</t>
  </si>
  <si>
    <t>Number of specific acute non-elective spells in the period with a length of one or more days per 1,000 patients in the cohort</t>
  </si>
  <si>
    <t>Number of specific acute non-elective spells in the period with a length of stay of one or more days for patients in the cohort</t>
  </si>
  <si>
    <t>Number of category 1 ambulance conveyances for patients in the cohort</t>
  </si>
  <si>
    <t>Number of category 1 ambulance conveyances per 1,000 patients in the cohort</t>
  </si>
  <si>
    <t>Number of category 2 ambulance conveyances for patients in the cohort</t>
  </si>
  <si>
    <t>Number of category 2 ambulance conveyances per 1,000 patients in the cohort</t>
  </si>
  <si>
    <t>Number of category 3 ambulance conveyances for patients in the cohort</t>
  </si>
  <si>
    <t>Number of category 3 ambulance conveyances per 1,000 patients in the cohort</t>
  </si>
  <si>
    <t>Number of category 4 ambulance conveyances for patients in the cohort</t>
  </si>
  <si>
    <t>Number of category 4 ambulance conveyances per 1,000 patients in the cohort</t>
  </si>
  <si>
    <t>The National Neighbourhood Health Implementation Programme (NNHIP), through extensive stakeholder engagement, has agreed an holistic suite of goals for neighbourhood working and a ‘balanced scorecard’ to measure outcomes. The aim is to support all Places to adopt a common approach (for within programme comparisons) and to be able to compare programme participants to non- participants (controls) in as many Places as possible.
The data collection template captures all the aggregate data required each month for the national submission. The yellow cells below and in the tabs Submission Template should be completed by each Place every month. The submission timetable is shown in the 'SubmissionTimetable' tab. A more detailed description of the data collection and submission process can be found in the NNHIP Measurement Guide.
More detail on the requirements are shown below.</t>
  </si>
  <si>
    <t>SubmissionTemplate</t>
  </si>
  <si>
    <t>There is one worksheet to complete to collect data for the NNHIP cohort. The worksheets are:</t>
  </si>
  <si>
    <t>Numerator</t>
  </si>
  <si>
    <t>Denominator</t>
  </si>
  <si>
    <t>Number of specific acute non-elective spells in the period with a length of stay of one or more days</t>
  </si>
  <si>
    <r>
      <rPr>
        <b/>
        <sz val="11"/>
        <color theme="1"/>
        <rFont val="Aptos"/>
        <family val="2"/>
      </rPr>
      <t xml:space="preserve">Definition: </t>
    </r>
    <r>
      <rPr>
        <sz val="11"/>
        <color theme="1"/>
        <rFont val="Aptos"/>
        <family val="2"/>
      </rPr>
      <t xml:space="preserve">Number of patients in the cohort (defined locally)
</t>
    </r>
    <r>
      <rPr>
        <b/>
        <sz val="11"/>
        <color theme="1"/>
        <rFont val="Aptos"/>
        <family val="2"/>
      </rPr>
      <t>Source:</t>
    </r>
    <r>
      <rPr>
        <sz val="11"/>
        <color theme="1"/>
        <rFont val="Aptos"/>
        <family val="2"/>
      </rPr>
      <t xml:space="preserve"> Local NNHIP data collection</t>
    </r>
  </si>
  <si>
    <t>Number of A&amp;E attendances at a type 1 department per 1,000 patients in the cohort</t>
  </si>
  <si>
    <t>Number of A&amp;E attendances at an other type department per 1,000 patients in the cohort</t>
  </si>
  <si>
    <t>1. Inpatient spells</t>
  </si>
  <si>
    <r>
      <t xml:space="preserve">A spell is defined as a continuous period of admitted patient care within one healthcare provider, for a single patient. Spells are comprised of one or more episodes of care, which are continuous periods under one consultant. Spells are counted in each data table </t>
    </r>
    <r>
      <rPr>
        <sz val="11"/>
        <rFont val="Aptos Narrow"/>
        <family val="2"/>
        <scheme val="minor"/>
      </rPr>
      <t>a</t>
    </r>
    <r>
      <rPr>
        <sz val="11"/>
        <color theme="1"/>
        <rFont val="Aptos Narrow"/>
        <family val="2"/>
        <scheme val="minor"/>
      </rPr>
      <t>gainst the month and year in which they ended. The activity counts do not necessarily represent a count of distinct patients, as it is possible for a person to be admitted more than once within the same period.</t>
    </r>
  </si>
  <si>
    <t>2. Emergency admissions / non-elective spells</t>
  </si>
  <si>
    <t xml:space="preserve">The admission method, which is a code to identify how the patient was admitted to hospital, has been used to restrict each data table to emergency and non-elective admissions (referred to as non-elective spells). These are admissions which are unpredictable and which occur at short notice because of clinical need. The following codes are included:
Emergency Admission, when admission is unpredictable and at short notice because of clinical need: 
21 = Emergency Care Department or acute or emergency dental service
22 = General Practitioner:  after a request for immediate admission has been made direct to a Hospital Provider, i.e. not through a Bed bureau, by a GP or deputy
23 = Bed bureau 
24 = Consultant Clinic, of this or another Health Care Provider  
25 = Admission via Mental Health Crisis Resolution Team (available from 2013/14)
2A = Emergency Care Department of another provider where the patient had not been admitted (available from 2013/14)
2B = Transfer of an admitted patient from another Hospital Provider in an emergency (available from 2013/14)
2C = Baby born at home as intended (available from 2013/14)
2D = Other emergency admission (available from 2013/14)
28 = Other means, examples are:
- admitted from the Accident and Emergency Department of another provider where they had not been admitted
- transfer of an admitted PATIENT from another Hospital Provider in an emergency
- baby born at home as intended (retired on 2022-23)
Maternity Admission, of a pregnant or recently pregnant woman to a maternity ward (including delivery facilities) except when the intention is to terminate the pregnancy:
31 = Admitted ante-partum 
32 = Admitted post-partum 
</t>
  </si>
  <si>
    <t>Other Admission not specified above:
82 = The birth of a baby in this Health Care Provider  
83 = Baby born outside the Health Care Provider except when born at home as intended. 
81 = Transfer of any admitted patient from other Hospital Provider other than in an emergency
84 = Admission by Admissions Panel of a High Security Psychiatric Hospital, patient not entered on the HSPH Admissions Waiting List (available between 1999 and 2006)
89 = HSPH Admissions Waiting List of a High Security Psychiatric Hospital (available between 1999 and 2006)</t>
  </si>
  <si>
    <t>3. Specific Acute treatment functions</t>
  </si>
  <si>
    <t xml:space="preserve">To align with NHS planning definitions and aid use of the extract for delivery of the BCF, each data table has been restricted to activity for specific acute treatment functions, based on the last episode in each spell. Specific acute care is for patients that need specialist support and treatment which cannot be provided in the community during an acute stage of their illness. It is usually provided within a hospital and includes services such as inpatient and outpatient medicine and surgery. Maternity, Mental Health and Learning Disabilities are categorised separately.
</t>
  </si>
  <si>
    <t>Specific acute services were defined in the NHS England 2023/24 priorities and operational guidance by treatment function code (opens new browser window).</t>
  </si>
  <si>
    <t>4. Length of stay</t>
  </si>
  <si>
    <t>Each data table has been restricted to inpatient spells with a length of stay (the difference between the admission date and the discharge date) of at least 1 day. Zero-day spells have been deliberately excluded so as to avoid distortions associated with reclassification of Same Day Emergency Care (SDEC) cases as type 5 attendances in the ECDS collection.</t>
  </si>
  <si>
    <r>
      <rPr>
        <b/>
        <sz val="11"/>
        <color theme="1"/>
        <rFont val="Aptos"/>
        <family val="2"/>
      </rPr>
      <t>Definition:</t>
    </r>
    <r>
      <rPr>
        <sz val="11"/>
        <color theme="1"/>
        <rFont val="Aptos"/>
        <family val="2"/>
      </rPr>
      <t xml:space="preserve"> Count of A&amp;E attendances in the month where EMERGENCY CARE DEPARTMENT TYPE &lt;&gt; 01 for patients is in the NNHIP cohort
</t>
    </r>
    <r>
      <rPr>
        <b/>
        <sz val="11"/>
        <color theme="1"/>
        <rFont val="Aptos"/>
        <family val="2"/>
      </rPr>
      <t>Source:</t>
    </r>
    <r>
      <rPr>
        <sz val="11"/>
        <color theme="1"/>
        <rFont val="Aptos"/>
        <family val="2"/>
      </rPr>
      <t xml:space="preserve"> ECDS</t>
    </r>
  </si>
  <si>
    <t>Number of consultant-led outpatient appointments (new, follow up and outpatient procedures) per 1,000 patients in the cohort (source: SUS Outpatients)</t>
  </si>
  <si>
    <t>Number of outpatient appointments (new, follow up and outpatient procedures)</t>
  </si>
  <si>
    <t>Number of specific acute non-elective spells in the period with a length of stay of zero days per 1,000 patients in the cohort (source: SUS Inpatients)</t>
  </si>
  <si>
    <t>Number of specific acute non-elective spells in the period with a length of stay of one or more days per 1,000 patients in the cohort (source: SUS Inpatients)</t>
  </si>
  <si>
    <t>Number of emergency admissions (1 or days LOS)</t>
  </si>
  <si>
    <t>Number of emergency admissions (0 days LOS)</t>
  </si>
  <si>
    <t>Number of inpatient bed days per 1,000 patients in the cohort (source: SUS Inpatients)</t>
  </si>
  <si>
    <t>Number of A&amp;E attendances (Type 1 and Other types) per 1,000 patients in the cohort  (source: ECDS)</t>
  </si>
  <si>
    <t>Number of appointments in general practice and Primary Care Networks per 1,000 patients in the cohort (source: primary care systems)</t>
  </si>
  <si>
    <t>Number of Community Care Contacts attended per 1,000 patients in the cohort (source: CSDS)</t>
  </si>
  <si>
    <t>Number of Community Care Contacts</t>
  </si>
  <si>
    <t>Number of ambulance conveyances to hospital per category for patients in the local NNHIP cohort during the month per 1,000 patients in the cohort (source: ECDS)</t>
  </si>
  <si>
    <t>The metrics collected for the NNHIP cohort  are:</t>
  </si>
  <si>
    <t>Detailed definitions of the NNHIP metrics can be for in the Definitions tab.</t>
  </si>
  <si>
    <r>
      <rPr>
        <b/>
        <sz val="11"/>
        <color theme="1"/>
        <rFont val="Aptos"/>
        <family val="2"/>
      </rPr>
      <t>Definition:</t>
    </r>
    <r>
      <rPr>
        <sz val="11"/>
        <color theme="1"/>
        <rFont val="Aptos"/>
        <family val="2"/>
      </rPr>
      <t xml:space="preserve"> Count of A&amp;E attendances in the month where EMERGENCY CARE DEPARTMENT TYPE = 01 for patients in the NNHIP cohort
</t>
    </r>
    <r>
      <rPr>
        <b/>
        <sz val="11"/>
        <color theme="1"/>
        <rFont val="Aptos"/>
        <family val="2"/>
      </rPr>
      <t>Source:</t>
    </r>
    <r>
      <rPr>
        <sz val="11"/>
        <color theme="1"/>
        <rFont val="Aptos"/>
        <family val="2"/>
      </rPr>
      <t xml:space="preserve"> ECDS</t>
    </r>
  </si>
  <si>
    <r>
      <rPr>
        <b/>
        <sz val="11"/>
        <color theme="1"/>
        <rFont val="Aptos"/>
        <family val="2"/>
      </rPr>
      <t>Definition:</t>
    </r>
    <r>
      <rPr>
        <sz val="11"/>
        <color theme="1"/>
        <rFont val="Aptos"/>
        <family val="2"/>
      </rPr>
      <t xml:space="preserve"> Count of A&amp;E attendances in the month where EMERGENCY CARE ARRIVAL MODE IN (1048051000000107, 1048031000000100, 1048041000000109) and EMERGENCY CARE ACUITY = '1077241000000103' for patients in the NNHIP cohort
</t>
    </r>
    <r>
      <rPr>
        <b/>
        <sz val="11"/>
        <color theme="1"/>
        <rFont val="Aptos"/>
        <family val="2"/>
      </rPr>
      <t>Source:</t>
    </r>
    <r>
      <rPr>
        <sz val="11"/>
        <color theme="1"/>
        <rFont val="Aptos"/>
        <family val="2"/>
      </rPr>
      <t xml:space="preserve"> ECDS</t>
    </r>
  </si>
  <si>
    <r>
      <rPr>
        <b/>
        <sz val="11"/>
        <color theme="1"/>
        <rFont val="Aptos"/>
        <family val="2"/>
      </rPr>
      <t>Definition:</t>
    </r>
    <r>
      <rPr>
        <sz val="11"/>
        <color theme="1"/>
        <rFont val="Aptos"/>
        <family val="2"/>
      </rPr>
      <t xml:space="preserve"> Count of A&amp;E attendances in the month where EMERGENCY CARE ARRIVAL MODE IN (1048051000000107, 1048031000000100, 1048041000000109) and EMERGENCY CARE ACUITY = '1064901000000108' for patients  in the NNHIP cohort
</t>
    </r>
    <r>
      <rPr>
        <b/>
        <sz val="11"/>
        <color theme="1"/>
        <rFont val="Aptos"/>
        <family val="2"/>
      </rPr>
      <t>Source:</t>
    </r>
    <r>
      <rPr>
        <sz val="11"/>
        <color theme="1"/>
        <rFont val="Aptos"/>
        <family val="2"/>
      </rPr>
      <t xml:space="preserve"> ECDS</t>
    </r>
  </si>
  <si>
    <r>
      <rPr>
        <b/>
        <sz val="11"/>
        <color theme="1"/>
        <rFont val="Aptos"/>
        <family val="2"/>
      </rPr>
      <t>Definition:</t>
    </r>
    <r>
      <rPr>
        <sz val="11"/>
        <color theme="1"/>
        <rFont val="Aptos"/>
        <family val="2"/>
      </rPr>
      <t xml:space="preserve"> Count of A&amp;E attendances in the month where EMERGENCY CARE ARRIVAL MODE IN (1048051000000107, 1048031000000100, 1048041000000109) and EMERGENCY CARE ACUITY = '1064911000000105' for patients in the NNHIP cohort
</t>
    </r>
    <r>
      <rPr>
        <b/>
        <sz val="11"/>
        <color theme="1"/>
        <rFont val="Aptos"/>
        <family val="2"/>
      </rPr>
      <t>Source:</t>
    </r>
    <r>
      <rPr>
        <sz val="11"/>
        <color theme="1"/>
        <rFont val="Aptos"/>
        <family val="2"/>
      </rPr>
      <t xml:space="preserve"> ECDS</t>
    </r>
  </si>
  <si>
    <r>
      <rPr>
        <b/>
        <sz val="11"/>
        <color theme="1"/>
        <rFont val="Aptos"/>
        <family val="2"/>
      </rPr>
      <t>Definition:</t>
    </r>
    <r>
      <rPr>
        <sz val="11"/>
        <color theme="1"/>
        <rFont val="Aptos"/>
        <family val="2"/>
      </rPr>
      <t xml:space="preserve"> Count of A&amp;E attendances in the month where EMERGENCY CARE ARRIVAL MODE IN (1048051000000107, 1048031000000100, 1048041000000109) and EMERGENCY CARE ACUITY = '1064891000000107' for patients in the NNHIP cohort
</t>
    </r>
    <r>
      <rPr>
        <b/>
        <sz val="11"/>
        <color theme="1"/>
        <rFont val="Aptos"/>
        <family val="2"/>
      </rPr>
      <t>Source:</t>
    </r>
    <r>
      <rPr>
        <sz val="11"/>
        <color theme="1"/>
        <rFont val="Aptos"/>
        <family val="2"/>
      </rPr>
      <t xml:space="preserve"> ECDS</t>
    </r>
  </si>
  <si>
    <r>
      <rPr>
        <b/>
        <sz val="11"/>
        <color theme="1"/>
        <rFont val="Aptos"/>
        <family val="2"/>
      </rPr>
      <t>Definition:</t>
    </r>
    <r>
      <rPr>
        <sz val="11"/>
        <color theme="1"/>
        <rFont val="Aptos"/>
        <family val="2"/>
      </rPr>
      <t xml:space="preserve"> Sum of inpatient bed days completed inpatient spells where Admission Method Code and Treatment Function Code meet the national definition set out in the AcuteNonElectiveDefs worksheet is in list  for patients in the cohort
</t>
    </r>
    <r>
      <rPr>
        <b/>
        <sz val="11"/>
        <color theme="1"/>
        <rFont val="Aptos"/>
        <family val="2"/>
      </rPr>
      <t>Source:</t>
    </r>
    <r>
      <rPr>
        <sz val="11"/>
        <color theme="1"/>
        <rFont val="Aptos"/>
        <family val="2"/>
      </rPr>
      <t xml:space="preserve"> SUS Inpatients</t>
    </r>
  </si>
  <si>
    <r>
      <rPr>
        <b/>
        <sz val="11"/>
        <color theme="1"/>
        <rFont val="Aptos"/>
        <family val="2"/>
      </rPr>
      <t>Definition:</t>
    </r>
    <r>
      <rPr>
        <sz val="11"/>
        <color theme="1"/>
        <rFont val="Aptos"/>
        <family val="2"/>
      </rPr>
      <t xml:space="preserve"> Count of care contacts where cyp201carecontact.Unique_MonthID = 'Unique_MonthID' and
cyp201carecontact.Contact_Date between  'ReportingStartDate' and 'ReportingEndDate' for patients in the NNHIP cohort
</t>
    </r>
    <r>
      <rPr>
        <b/>
        <sz val="11"/>
        <color theme="1"/>
        <rFont val="Aptos"/>
        <family val="2"/>
      </rPr>
      <t>Source:</t>
    </r>
    <r>
      <rPr>
        <sz val="11"/>
        <color theme="1"/>
        <rFont val="Aptos"/>
        <family val="2"/>
      </rPr>
      <t xml:space="preserve"> CSDS</t>
    </r>
  </si>
  <si>
    <r>
      <rPr>
        <b/>
        <sz val="11"/>
        <color theme="1"/>
        <rFont val="Aptos"/>
        <family val="2"/>
      </rPr>
      <t>Definition:</t>
    </r>
    <r>
      <rPr>
        <sz val="11"/>
        <color theme="1"/>
        <rFont val="Aptos"/>
        <family val="2"/>
      </rPr>
      <t xml:space="preserve"> Count of outpatient appointments in the month with a MAIN SPECIALTY CODE is a consultant specific code, FIRST ATTENDANCE CODE = 1 OR 3 and ATTENDED OR DID NOT ATTEND CODE equal to 5 OR 6 for patients in the NNHIP cohort
</t>
    </r>
    <r>
      <rPr>
        <b/>
        <sz val="11"/>
        <color theme="1"/>
        <rFont val="Aptos"/>
        <family val="2"/>
      </rPr>
      <t>Source:</t>
    </r>
    <r>
      <rPr>
        <sz val="11"/>
        <color theme="1"/>
        <rFont val="Aptos"/>
        <family val="2"/>
      </rPr>
      <t xml:space="preserve"> SUS Outpatients</t>
    </r>
  </si>
  <si>
    <r>
      <rPr>
        <b/>
        <sz val="11"/>
        <color theme="1"/>
        <rFont val="Aptos"/>
        <family val="2"/>
      </rPr>
      <t>Definition:</t>
    </r>
    <r>
      <rPr>
        <sz val="11"/>
        <color theme="1"/>
        <rFont val="Aptos"/>
        <family val="2"/>
      </rPr>
      <t xml:space="preserve"> Count of outpatient appointments in the month with a MAIN SPECIALTY CODE is a consultant specific code, FIRST ATTENDANCE CODE = 2 OR 4 and ATTENDED OR DID NOT ATTEND CODE equal to 5 OR 6 for patients in the NNHIP cohort
</t>
    </r>
    <r>
      <rPr>
        <b/>
        <sz val="11"/>
        <color theme="1"/>
        <rFont val="Aptos"/>
        <family val="2"/>
      </rPr>
      <t>Source:</t>
    </r>
    <r>
      <rPr>
        <sz val="11"/>
        <color theme="1"/>
        <rFont val="Aptos"/>
        <family val="2"/>
      </rPr>
      <t xml:space="preserve"> SUS Outpatients</t>
    </r>
  </si>
  <si>
    <r>
      <rPr>
        <b/>
        <sz val="11"/>
        <color theme="1"/>
        <rFont val="Aptos"/>
        <family val="2"/>
      </rPr>
      <t>Definition:</t>
    </r>
    <r>
      <rPr>
        <sz val="11"/>
        <color theme="1"/>
        <rFont val="Aptos"/>
        <family val="2"/>
      </rPr>
      <t xml:space="preserve"> Count of general practice and PCN appointments where Appointment Status = 'Attended',  SDS Role Group = 'GP' and Service Setting in ('General Practice', 'Primary Care Network')
</t>
    </r>
    <r>
      <rPr>
        <b/>
        <sz val="11"/>
        <color theme="1"/>
        <rFont val="Aptos"/>
        <family val="2"/>
      </rPr>
      <t>Source:</t>
    </r>
    <r>
      <rPr>
        <sz val="11"/>
        <color theme="1"/>
        <rFont val="Aptos"/>
        <family val="2"/>
      </rPr>
      <t xml:space="preserve"> Local primary care systems for patients in the NNHIP cohort</t>
    </r>
  </si>
  <si>
    <r>
      <rPr>
        <b/>
        <sz val="11"/>
        <color theme="1"/>
        <rFont val="Aptos"/>
        <family val="2"/>
      </rPr>
      <t>Definition:</t>
    </r>
    <r>
      <rPr>
        <sz val="11"/>
        <color theme="1"/>
        <rFont val="Aptos"/>
        <family val="2"/>
      </rPr>
      <t xml:space="preserve"> Count of active cases the Place is actively working with during the month. This should not be the whole NNHIP cohort. 
</t>
    </r>
    <r>
      <rPr>
        <b/>
        <sz val="11"/>
        <color theme="1"/>
        <rFont val="Aptos"/>
        <family val="2"/>
      </rPr>
      <t xml:space="preserve">Source: </t>
    </r>
    <r>
      <rPr>
        <sz val="11"/>
        <color theme="1"/>
        <rFont val="Aptos"/>
        <family val="2"/>
      </rPr>
      <t>Local NNHIP data collection</t>
    </r>
  </si>
  <si>
    <r>
      <rPr>
        <b/>
        <sz val="11"/>
        <color theme="1"/>
        <rFont val="Aptos"/>
        <family val="2"/>
      </rPr>
      <t>Definition:</t>
    </r>
    <r>
      <rPr>
        <sz val="11"/>
        <color theme="1"/>
        <rFont val="Aptos"/>
        <family val="2"/>
      </rPr>
      <t xml:space="preserve"> Count of completed inpatient spells where length of stay (Discharge Date - Admission Date) &gt;= 1 and Admission Method Code and Treatment Function Code meet the national definition set out in the AcuteNonElectiveDefs worksheet for patients in the NNHIP cohort
</t>
    </r>
    <r>
      <rPr>
        <b/>
        <sz val="11"/>
        <color theme="1"/>
        <rFont val="Aptos"/>
        <family val="2"/>
      </rPr>
      <t>Source:</t>
    </r>
    <r>
      <rPr>
        <sz val="11"/>
        <color theme="1"/>
        <rFont val="Aptos"/>
        <family val="2"/>
      </rPr>
      <t xml:space="preserve"> SUS Inpatients</t>
    </r>
  </si>
  <si>
    <r>
      <rPr>
        <b/>
        <sz val="11"/>
        <color theme="1"/>
        <rFont val="Aptos"/>
        <family val="2"/>
      </rPr>
      <t>Definition:</t>
    </r>
    <r>
      <rPr>
        <sz val="11"/>
        <color theme="1"/>
        <rFont val="Aptos"/>
        <family val="2"/>
      </rPr>
      <t xml:space="preserve"> Count of completed inpatient spells where length of stay (Discharge Date - Admission Date) = 0 and Admission Method Code and Treatment Function Code meet the national definition set out in the AcuteNonElectiveDefs worksheet for patients in the NNHIP cohort
</t>
    </r>
    <r>
      <rPr>
        <b/>
        <sz val="11"/>
        <color theme="1"/>
        <rFont val="Aptos"/>
        <family val="2"/>
      </rPr>
      <t>Source:</t>
    </r>
    <r>
      <rPr>
        <sz val="11"/>
        <color theme="1"/>
        <rFont val="Aptos"/>
        <family val="2"/>
      </rPr>
      <t xml:space="preserve"> SUS Inpatients</t>
    </r>
  </si>
  <si>
    <r>
      <rPr>
        <b/>
        <sz val="11"/>
        <color theme="1"/>
        <rFont val="Aptos"/>
        <family val="2"/>
      </rPr>
      <t>Definition:</t>
    </r>
    <r>
      <rPr>
        <sz val="11"/>
        <color theme="1"/>
        <rFont val="Aptos"/>
        <family val="2"/>
      </rPr>
      <t xml:space="preserve"> Count of outpatient appointments in the month with a MAIN SPECIALTY CODE is a consultant specific code, FIRST ATTENDANCE CODE = 2 OR 4, ATTENDED OR DID NOT ATTEND CODE equal to 5 OR 6 and PRIMARY PROCEDURE (OPCS) IS NOT NULL for patients in the NNHIP cohort
</t>
    </r>
    <r>
      <rPr>
        <b/>
        <sz val="11"/>
        <color theme="1"/>
        <rFont val="Aptos"/>
        <family val="2"/>
      </rPr>
      <t>Source:</t>
    </r>
    <r>
      <rPr>
        <sz val="11"/>
        <color theme="1"/>
        <rFont val="Aptos"/>
        <family val="2"/>
      </rPr>
      <t xml:space="preserve"> SUS Outpatients</t>
    </r>
  </si>
  <si>
    <t>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</si>
</sst>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12" x14ac:knownFonts="1">
    <font>
      <sz val="11"/>
      <color theme="1"/>
      <name val="Aptos Narrow"/>
      <family val="2"/>
      <scheme val="minor"/>
    </font>
    <font>
      <b/>
      <sz val="11"/>
      <color theme="0"/>
      <name val="Aptos Narrow"/>
      <family val="2"/>
      <scheme val="minor"/>
    </font>
    <font>
      <b/>
      <sz val="11"/>
      <color theme="1"/>
      <name val="Aptos Narrow"/>
      <family val="2"/>
      <scheme val="minor"/>
    </font>
    <font>
      <sz val="8"/>
      <name val="Aptos Narrow"/>
      <family val="2"/>
      <scheme val="minor"/>
    </font>
    <font>
      <i/>
      <sz val="10"/>
      <color theme="1"/>
      <name val="Aptos Narrow"/>
      <family val="2"/>
      <scheme val="minor"/>
    </font>
    <font>
      <u/>
      <sz val="11"/>
      <color theme="10"/>
      <name val="Aptos Narrow"/>
      <family val="2"/>
      <scheme val="minor"/>
    </font>
    <font>
      <b/>
      <sz val="14"/>
      <color theme="1"/>
      <name val="Aptos Narrow"/>
      <family val="2"/>
      <scheme val="minor"/>
    </font>
    <font>
      <sz val="11"/>
      <color theme="1"/>
      <name val="Aptos Narrow"/>
      <family val="2"/>
      <scheme val="minor"/>
    </font>
    <font>
      <sz val="11"/>
      <color theme="1"/>
      <name val="Aptos"/>
      <family val="2"/>
    </font>
    <font>
      <b/>
      <sz val="11"/>
      <color theme="1"/>
      <name val="Aptos"/>
      <family val="2"/>
    </font>
    <font>
      <sz val="12"/>
      <color theme="1"/>
      <name val="Arial"/>
      <family val="2"/>
    </font>
    <font>
      <sz val="11"/>
      <name val="Aptos Narrow"/>
      <family val="2"/>
      <scheme val="minor"/>
    </font>
  </fonts>
  <fills count="9">
    <fill>
      <patternFill patternType="none"/>
    </fill>
    <fill>
      <patternFill patternType="gray125"/>
    </fill>
    <fill>
      <patternFill patternType="solid">
        <fgColor theme="4"/>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
      <patternFill patternType="solid">
        <fgColor rgb="FF0070C0"/>
        <bgColor indexed="64"/>
      </patternFill>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5" fillId="0" borderId="0" applyNumberFormat="0" applyFill="0" applyBorder="0" applyAlignment="0" applyProtection="0"/>
    <xf numFmtId="0" fontId="10" fillId="0" borderId="0"/>
    <xf numFmtId="43" fontId="7" fillId="0" borderId="0" applyFont="0" applyFill="0" applyBorder="0" applyAlignment="0" applyProtection="0"/>
  </cellStyleXfs>
  <cellXfs count="39">
    <xf numFmtId="0" fontId="0" fillId="0" borderId="0" xfId="0"/>
    <xf numFmtId="0" fontId="0" fillId="0" borderId="0" xfId="0" applyAlignment="1">
      <alignment wrapText="1"/>
    </xf>
    <xf numFmtId="0" fontId="1" fillId="2" borderId="1" xfId="0" applyFont="1" applyFill="1" applyBorder="1" applyAlignment="1">
      <alignment horizontal="center" vertical="center"/>
    </xf>
    <xf numFmtId="0" fontId="0" fillId="0" borderId="1" xfId="0" applyBorder="1"/>
    <xf numFmtId="0" fontId="0" fillId="0" borderId="1" xfId="0" applyBorder="1" applyAlignment="1">
      <alignment wrapText="1"/>
    </xf>
    <xf numFmtId="0" fontId="2" fillId="0" borderId="1" xfId="0" applyFont="1" applyBorder="1"/>
    <xf numFmtId="0" fontId="4" fillId="3" borderId="0" xfId="0" applyFont="1" applyFill="1" applyAlignment="1">
      <alignment horizontal="right"/>
    </xf>
    <xf numFmtId="17" fontId="0" fillId="0" borderId="0" xfId="0" applyNumberFormat="1"/>
    <xf numFmtId="0" fontId="0" fillId="5" borderId="1" xfId="0" applyFill="1" applyBorder="1"/>
    <xf numFmtId="0" fontId="0" fillId="4" borderId="1" xfId="0" applyFill="1" applyBorder="1"/>
    <xf numFmtId="0" fontId="0" fillId="4" borderId="1" xfId="0" applyFill="1" applyBorder="1" applyAlignment="1">
      <alignment wrapText="1"/>
    </xf>
    <xf numFmtId="0" fontId="2" fillId="0" borderId="0" xfId="0" applyFont="1" applyAlignment="1">
      <alignment horizontal="center"/>
    </xf>
    <xf numFmtId="0" fontId="5" fillId="0" borderId="1" xfId="1" applyBorder="1" applyAlignment="1">
      <alignment wrapText="1"/>
    </xf>
    <xf numFmtId="0" fontId="1" fillId="2" borderId="1" xfId="0" applyFont="1" applyFill="1" applyBorder="1" applyAlignment="1">
      <alignment horizontal="center" wrapText="1"/>
    </xf>
    <xf numFmtId="17" fontId="0" fillId="0" borderId="1" xfId="0" applyNumberFormat="1" applyBorder="1" applyAlignment="1">
      <alignment horizontal="left"/>
    </xf>
    <xf numFmtId="14" fontId="0" fillId="0" borderId="1" xfId="0" applyNumberFormat="1" applyBorder="1"/>
    <xf numFmtId="0" fontId="1" fillId="6" borderId="1" xfId="0" applyFont="1" applyFill="1" applyBorder="1" applyAlignment="1">
      <alignment horizontal="center"/>
    </xf>
    <xf numFmtId="0" fontId="2" fillId="4" borderId="1" xfId="0" applyFont="1" applyFill="1" applyBorder="1" applyAlignment="1">
      <alignment wrapText="1"/>
    </xf>
    <xf numFmtId="0" fontId="9" fillId="0" borderId="1" xfId="0" applyFont="1" applyBorder="1" applyAlignment="1">
      <alignment vertical="center" wrapText="1"/>
    </xf>
    <xf numFmtId="0" fontId="8" fillId="0" borderId="1" xfId="0" applyFont="1" applyBorder="1" applyAlignment="1">
      <alignment vertical="center" wrapText="1"/>
    </xf>
    <xf numFmtId="0" fontId="8" fillId="8" borderId="1" xfId="0" applyFont="1" applyFill="1" applyBorder="1" applyAlignment="1">
      <alignment vertical="center" wrapText="1"/>
    </xf>
    <xf numFmtId="0" fontId="0" fillId="0" borderId="1" xfId="0" applyBorder="1" applyAlignment="1">
      <alignment vertical="center"/>
    </xf>
    <xf numFmtId="0" fontId="0" fillId="0" borderId="0" xfId="0"/>
    <xf numFmtId="0" fontId="1" fillId="2" borderId="1" xfId="0" applyFont="1" applyFill="1" applyBorder="1" applyAlignment="1">
      <alignment horizontal="center" vertical="center"/>
    </xf>
    <xf numFmtId="0" fontId="0" fillId="4" borderId="1" xfId="0" applyFill="1" applyBorder="1" applyAlignment="1">
      <alignment vertical="center"/>
    </xf>
    <xf numFmtId="0" fontId="6" fillId="0" borderId="0" xfId="0" applyFont="1" applyAlignment="1">
      <alignment horizontal="center"/>
    </xf>
    <xf numFmtId="0" fontId="0" fillId="0" borderId="0" xfId="0" applyAlignment="1">
      <alignment wrapText="1"/>
    </xf>
    <xf numFmtId="0" fontId="1" fillId="6" borderId="1" xfId="0" applyFont="1" applyFill="1" applyBorder="1" applyAlignment="1">
      <alignment horizontal="center"/>
    </xf>
    <xf numFmtId="0" fontId="0" fillId="0" borderId="1" xfId="0" applyBorder="1" applyAlignment="1">
      <alignment wrapText="1"/>
    </xf>
    <xf numFmtId="0" fontId="0" fillId="0" borderId="0" xfId="0" applyAlignment="1">
      <alignment horizontal="left" vertical="top" wrapText="1"/>
    </xf>
    <xf numFmtId="0" fontId="0" fillId="5" borderId="1" xfId="0" applyFill="1" applyBorder="1" applyAlignment="1">
      <alignment horizontal="left" wrapText="1"/>
    </xf>
    <xf numFmtId="0" fontId="0" fillId="5" borderId="1" xfId="0" applyFill="1" applyBorder="1" applyAlignment="1">
      <alignment wrapText="1"/>
    </xf>
    <xf numFmtId="0" fontId="5" fillId="0" borderId="1" xfId="1" applyBorder="1" applyAlignment="1">
      <alignment wrapText="1"/>
    </xf>
    <xf numFmtId="0" fontId="0" fillId="4" borderId="1" xfId="0" applyFill="1" applyBorder="1" applyAlignment="1">
      <alignment wrapText="1"/>
    </xf>
    <xf numFmtId="0" fontId="0" fillId="4" borderId="0" xfId="0" applyFill="1" applyAlignment="1">
      <alignment wrapText="1"/>
    </xf>
    <xf numFmtId="0" fontId="2" fillId="7" borderId="0" xfId="2" applyFont="1" applyFill="1" applyAlignment="1">
      <alignment horizontal="left" vertical="top"/>
    </xf>
    <xf numFmtId="0" fontId="7" fillId="0" borderId="0" xfId="2" applyFont="1" applyAlignment="1">
      <alignment horizontal="left" vertical="top" wrapText="1"/>
    </xf>
    <xf numFmtId="0" fontId="0" fillId="0" borderId="0" xfId="2" applyFont="1" applyAlignment="1">
      <alignment horizontal="left" vertical="top" wrapText="1"/>
    </xf>
    <xf numFmtId="0" fontId="5" fillId="0" borderId="0" xfId="1" applyAlignment="1">
      <alignment horizontal="left" vertical="top" wrapText="1"/>
    </xf>
  </cellXfs>
  <cellStyles count="4">
    <cellStyle name="Comma 2" xfId="3" xr:uid="{878653F0-393B-4BEC-8FDF-A5411F76E473}"/>
    <cellStyle name="Hyperlink" xfId="1" builtinId="8"/>
    <cellStyle name="Normal" xfId="0" builtinId="0"/>
    <cellStyle name="Normal 2" xfId="2" xr:uid="{48D9A6B4-9A3C-4B5E-9F37-69CA653E01E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gov.uk/government/statistics/english-indices-of-deprivation-2019"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www.england.nhs.uk/statistics/wp-content/uploads/sites/2/2023/12/Specific_Acute_TFC.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60C98-FF3B-4C33-B413-5609F015A2DE}">
  <dimension ref="A1:C35"/>
  <sheetViews>
    <sheetView zoomScale="130" zoomScaleNormal="130" workbookViewId="0">
      <selection activeCell="A3" sqref="A3:C3"/>
    </sheetView>
  </sheetViews>
  <sheetFormatPr defaultRowHeight="15" x14ac:dyDescent="0.25"/>
  <cols>
    <col min="1" max="1" width="28.7109375" customWidth="1"/>
    <col min="2" max="3" width="36.85546875" customWidth="1"/>
  </cols>
  <sheetData>
    <row r="1" spans="1:3" ht="18.75" x14ac:dyDescent="0.3">
      <c r="A1" s="25" t="s">
        <v>95</v>
      </c>
      <c r="B1" s="25"/>
      <c r="C1" s="25"/>
    </row>
    <row r="2" spans="1:3" x14ac:dyDescent="0.25">
      <c r="A2" s="11"/>
      <c r="B2" s="11"/>
      <c r="C2" s="11"/>
    </row>
    <row r="3" spans="1:3" ht="135" customHeight="1" x14ac:dyDescent="0.25">
      <c r="A3" s="29" t="s">
        <v>129</v>
      </c>
      <c r="B3" s="29"/>
      <c r="C3" s="29"/>
    </row>
    <row r="5" spans="1:3" x14ac:dyDescent="0.25">
      <c r="A5" t="s">
        <v>94</v>
      </c>
    </row>
    <row r="6" spans="1:3" x14ac:dyDescent="0.25">
      <c r="A6" s="6" t="s">
        <v>28</v>
      </c>
      <c r="B6" s="30" t="s">
        <v>50</v>
      </c>
      <c r="C6" s="31"/>
    </row>
    <row r="7" spans="1:3" x14ac:dyDescent="0.25">
      <c r="A7" s="6" t="s">
        <v>29</v>
      </c>
      <c r="B7" s="30">
        <v>46204</v>
      </c>
      <c r="C7" s="31"/>
    </row>
    <row r="9" spans="1:3" x14ac:dyDescent="0.25">
      <c r="A9" s="26" t="s">
        <v>131</v>
      </c>
      <c r="B9" s="26"/>
      <c r="C9" s="26"/>
    </row>
    <row r="11" spans="1:3" x14ac:dyDescent="0.25">
      <c r="A11" s="16" t="s">
        <v>37</v>
      </c>
      <c r="B11" s="27" t="s">
        <v>38</v>
      </c>
      <c r="C11" s="27"/>
    </row>
    <row r="12" spans="1:3" x14ac:dyDescent="0.25">
      <c r="A12" s="12" t="s">
        <v>130</v>
      </c>
      <c r="B12" s="28" t="s">
        <v>85</v>
      </c>
      <c r="C12" s="28"/>
    </row>
    <row r="14" spans="1:3" x14ac:dyDescent="0.25">
      <c r="A14" t="s">
        <v>161</v>
      </c>
    </row>
    <row r="16" spans="1:3" x14ac:dyDescent="0.25">
      <c r="A16" s="16" t="s">
        <v>39</v>
      </c>
      <c r="B16" s="27" t="s">
        <v>38</v>
      </c>
      <c r="C16" s="27"/>
    </row>
    <row r="17" spans="1:3" ht="45" x14ac:dyDescent="0.25">
      <c r="A17" s="10" t="s">
        <v>150</v>
      </c>
      <c r="B17" s="33" t="s">
        <v>149</v>
      </c>
      <c r="C17" s="33"/>
    </row>
    <row r="18" spans="1:3" ht="30" x14ac:dyDescent="0.25">
      <c r="A18" s="10" t="s">
        <v>154</v>
      </c>
      <c r="B18" s="33" t="s">
        <v>151</v>
      </c>
      <c r="C18" s="33"/>
    </row>
    <row r="19" spans="1:3" ht="30" x14ac:dyDescent="0.25">
      <c r="A19" s="10" t="s">
        <v>153</v>
      </c>
      <c r="B19" s="33" t="s">
        <v>152</v>
      </c>
      <c r="C19" s="33"/>
    </row>
    <row r="20" spans="1:3" x14ac:dyDescent="0.25">
      <c r="A20" s="10" t="s">
        <v>89</v>
      </c>
      <c r="B20" s="33" t="s">
        <v>155</v>
      </c>
      <c r="C20" s="33"/>
    </row>
    <row r="21" spans="1:3" ht="30" x14ac:dyDescent="0.25">
      <c r="A21" s="10" t="s">
        <v>90</v>
      </c>
      <c r="B21" s="33" t="s">
        <v>160</v>
      </c>
      <c r="C21" s="33"/>
    </row>
    <row r="22" spans="1:3" ht="35.450000000000003" customHeight="1" x14ac:dyDescent="0.25">
      <c r="A22" s="10" t="s">
        <v>91</v>
      </c>
      <c r="B22" s="33" t="s">
        <v>156</v>
      </c>
      <c r="C22" s="33"/>
    </row>
    <row r="23" spans="1:3" ht="30" x14ac:dyDescent="0.25">
      <c r="A23" s="10" t="s">
        <v>92</v>
      </c>
      <c r="B23" s="33" t="s">
        <v>157</v>
      </c>
      <c r="C23" s="33"/>
    </row>
    <row r="24" spans="1:3" ht="30" x14ac:dyDescent="0.25">
      <c r="A24" s="10" t="s">
        <v>159</v>
      </c>
      <c r="B24" s="33" t="s">
        <v>158</v>
      </c>
      <c r="C24" s="33"/>
    </row>
    <row r="25" spans="1:3" ht="30" x14ac:dyDescent="0.25">
      <c r="A25" s="10" t="s">
        <v>25</v>
      </c>
      <c r="B25" s="33" t="s">
        <v>96</v>
      </c>
      <c r="C25" s="33"/>
    </row>
    <row r="26" spans="1:3" ht="30" x14ac:dyDescent="0.25">
      <c r="A26" s="4" t="s">
        <v>34</v>
      </c>
      <c r="B26" s="28" t="s">
        <v>93</v>
      </c>
      <c r="C26" s="28"/>
    </row>
    <row r="27" spans="1:3" x14ac:dyDescent="0.25">
      <c r="A27" s="1"/>
      <c r="B27" s="1"/>
      <c r="C27" s="1"/>
    </row>
    <row r="28" spans="1:3" x14ac:dyDescent="0.25">
      <c r="A28" s="34" t="s">
        <v>162</v>
      </c>
      <c r="B28" s="22"/>
      <c r="C28" s="22"/>
    </row>
    <row r="30" spans="1:3" x14ac:dyDescent="0.25">
      <c r="A30" t="s">
        <v>41</v>
      </c>
    </row>
    <row r="32" spans="1:3" x14ac:dyDescent="0.25">
      <c r="A32" s="16" t="s">
        <v>40</v>
      </c>
      <c r="B32" s="27" t="s">
        <v>38</v>
      </c>
      <c r="C32" s="27"/>
    </row>
    <row r="33" spans="1:3" x14ac:dyDescent="0.25">
      <c r="A33" s="3" t="s">
        <v>1</v>
      </c>
      <c r="B33" s="28" t="s">
        <v>86</v>
      </c>
      <c r="C33" s="28"/>
    </row>
    <row r="34" spans="1:3" x14ac:dyDescent="0.25">
      <c r="A34" s="3" t="s">
        <v>9</v>
      </c>
      <c r="B34" s="28" t="s">
        <v>87</v>
      </c>
      <c r="C34" s="28"/>
    </row>
    <row r="35" spans="1:3" x14ac:dyDescent="0.25">
      <c r="A35" s="3" t="s">
        <v>10</v>
      </c>
      <c r="B35" s="32" t="s">
        <v>88</v>
      </c>
      <c r="C35" s="32"/>
    </row>
  </sheetData>
  <mergeCells count="23">
    <mergeCell ref="B16:C16"/>
    <mergeCell ref="B32:C32"/>
    <mergeCell ref="B33:C33"/>
    <mergeCell ref="B34:C34"/>
    <mergeCell ref="B19:C19"/>
    <mergeCell ref="B24:C24"/>
    <mergeCell ref="B35:C35"/>
    <mergeCell ref="B25:C25"/>
    <mergeCell ref="B26:C26"/>
    <mergeCell ref="B17:C17"/>
    <mergeCell ref="B18:C18"/>
    <mergeCell ref="B20:C20"/>
    <mergeCell ref="B21:C21"/>
    <mergeCell ref="B22:C22"/>
    <mergeCell ref="B23:C23"/>
    <mergeCell ref="A28:C28"/>
    <mergeCell ref="A1:C1"/>
    <mergeCell ref="A9:C9"/>
    <mergeCell ref="B11:C11"/>
    <mergeCell ref="B12:C12"/>
    <mergeCell ref="A3:C3"/>
    <mergeCell ref="B6:C6"/>
    <mergeCell ref="B7:C7"/>
  </mergeCells>
  <hyperlinks>
    <hyperlink ref="A12" location="SubmissionTemplate!A1" display="SubmissionTemplate" xr:uid="{DA5DF8CA-1062-49CB-90F8-CB6FFDD308BC}"/>
    <hyperlink ref="B35:C35" r:id="rId1" display="Index of Multiple Deprivation (IMD) quintiles based on the persons home postcode, aggregated to Lower Super Output Area (LSOA), at the time of intervention (1 = most deprived 20% of the English population and 5 = least deprived 20% of the English population). The published data is grouped by decile. These will need to be grouped again to create quintile. For example, decile 1 + decile 2 = quintile 1. Data on the latest IMD can be found here - https://www.gov.uk/government/statistics/english-indices-of-deprivation-2019" xr:uid="{9E828A13-40BC-4FCB-8317-A4213E48CD54}"/>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BF09A9B4-3E20-4ECA-BE7B-F02075C9A4AF}">
          <x14:formula1>
            <xm:f>Lookups!$A$2:$A$44</xm:f>
          </x14:formula1>
          <xm:sqref>B6</xm:sqref>
        </x14:dataValidation>
        <x14:dataValidation type="list" allowBlank="1" showInputMessage="1" showErrorMessage="1" xr:uid="{B759B23D-0BDF-4626-B941-1F6E5444DACF}">
          <x14:formula1>
            <xm:f>Lookups!$C$2:$C$36</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F2E4C-470E-44D5-881E-2926F8C632E0}">
  <dimension ref="A1:Y48"/>
  <sheetViews>
    <sheetView tabSelected="1" topLeftCell="A8" zoomScale="96" zoomScaleNormal="96" workbookViewId="0">
      <selection activeCell="H23" sqref="H23"/>
    </sheetView>
  </sheetViews>
  <sheetFormatPr defaultRowHeight="15" x14ac:dyDescent="0.25"/>
  <cols>
    <col min="1" max="1" width="15.5703125" customWidth="1"/>
    <col min="2" max="2" width="10.85546875" customWidth="1"/>
    <col min="3" max="3" width="55.42578125" style="1" customWidth="1"/>
    <col min="13" max="13" width="9.5703125" bestFit="1" customWidth="1"/>
    <col min="19" max="19" width="10.85546875" customWidth="1"/>
    <col min="25" max="25" width="9.7109375" bestFit="1" customWidth="1"/>
  </cols>
  <sheetData>
    <row r="1" spans="1:25" x14ac:dyDescent="0.25">
      <c r="A1" s="6" t="s">
        <v>28</v>
      </c>
      <c r="B1" s="22" t="str">
        <f>Instructions!B6</f>
        <v>Hillingdon</v>
      </c>
      <c r="C1" s="22"/>
      <c r="L1" t="s">
        <v>111</v>
      </c>
    </row>
    <row r="2" spans="1:25" x14ac:dyDescent="0.25">
      <c r="A2" s="6" t="s">
        <v>29</v>
      </c>
      <c r="B2" s="22">
        <f>Instructions!B7</f>
        <v>46204</v>
      </c>
      <c r="C2" s="22"/>
    </row>
    <row r="4" spans="1:25" x14ac:dyDescent="0.25">
      <c r="A4" s="23" t="s">
        <v>18</v>
      </c>
      <c r="B4" s="23" t="s">
        <v>20</v>
      </c>
      <c r="C4" s="23" t="s">
        <v>19</v>
      </c>
      <c r="D4" s="23" t="s">
        <v>0</v>
      </c>
      <c r="E4" s="23" t="s">
        <v>1</v>
      </c>
      <c r="F4" s="23"/>
      <c r="G4" s="23"/>
      <c r="H4" s="23"/>
      <c r="I4" s="23"/>
      <c r="J4" s="23"/>
      <c r="K4" s="23"/>
      <c r="L4" s="23"/>
      <c r="M4" s="23"/>
      <c r="N4" s="23" t="s">
        <v>9</v>
      </c>
      <c r="O4" s="23"/>
      <c r="P4" s="23"/>
      <c r="Q4" s="23"/>
      <c r="R4" s="23"/>
      <c r="S4" s="23"/>
      <c r="T4" s="23" t="s">
        <v>10</v>
      </c>
      <c r="U4" s="23"/>
      <c r="V4" s="23"/>
      <c r="W4" s="23"/>
      <c r="X4" s="23"/>
      <c r="Y4" s="23"/>
    </row>
    <row r="5" spans="1:25" x14ac:dyDescent="0.25">
      <c r="A5" s="23" t="s">
        <v>18</v>
      </c>
      <c r="B5" s="23" t="s">
        <v>20</v>
      </c>
      <c r="C5" s="23" t="s">
        <v>19</v>
      </c>
      <c r="D5" s="23"/>
      <c r="E5" s="2" t="s">
        <v>2</v>
      </c>
      <c r="F5" s="2" t="s">
        <v>3</v>
      </c>
      <c r="G5" s="2" t="s">
        <v>4</v>
      </c>
      <c r="H5" s="2" t="s">
        <v>5</v>
      </c>
      <c r="I5" s="2" t="s">
        <v>6</v>
      </c>
      <c r="J5" s="2" t="s">
        <v>7</v>
      </c>
      <c r="K5" s="2" t="s">
        <v>8</v>
      </c>
      <c r="L5" s="2" t="s">
        <v>177</v>
      </c>
      <c r="M5" s="2" t="s">
        <v>16</v>
      </c>
      <c r="N5" s="2" t="s">
        <v>11</v>
      </c>
      <c r="O5" s="2" t="s">
        <v>12</v>
      </c>
      <c r="P5" s="2" t="s">
        <v>13</v>
      </c>
      <c r="Q5" s="2" t="s">
        <v>14</v>
      </c>
      <c r="R5" s="2" t="s">
        <v>15</v>
      </c>
      <c r="S5" s="2" t="s">
        <v>16</v>
      </c>
      <c r="T5" s="2">
        <v>1</v>
      </c>
      <c r="U5" s="2">
        <v>2</v>
      </c>
      <c r="V5" s="2">
        <v>3</v>
      </c>
      <c r="W5" s="2">
        <v>4</v>
      </c>
      <c r="X5" s="2">
        <v>5</v>
      </c>
      <c r="Y5" s="2" t="s">
        <v>17</v>
      </c>
    </row>
    <row r="6" spans="1:25" ht="30" x14ac:dyDescent="0.25">
      <c r="A6" s="21" t="s">
        <v>21</v>
      </c>
      <c r="B6" s="21" t="s">
        <v>26</v>
      </c>
      <c r="C6" s="10" t="s">
        <v>112</v>
      </c>
      <c r="D6" s="8">
        <f ca="1">RANDBETWEEN(D7*0.2,D7*0.5)</f>
        <v>447</v>
      </c>
      <c r="E6" s="8">
        <f ca="1">FLOOR($D6/9,1)</f>
        <v>49</v>
      </c>
      <c r="F6" s="8">
        <f t="shared" ref="F6:L6" ca="1" si="0">FLOOR($D6/9,1)</f>
        <v>49</v>
      </c>
      <c r="G6" s="8">
        <f t="shared" ca="1" si="0"/>
        <v>49</v>
      </c>
      <c r="H6" s="8">
        <f t="shared" ca="1" si="0"/>
        <v>49</v>
      </c>
      <c r="I6" s="8">
        <f t="shared" ca="1" si="0"/>
        <v>49</v>
      </c>
      <c r="J6" s="8">
        <f t="shared" ca="1" si="0"/>
        <v>49</v>
      </c>
      <c r="K6" s="8">
        <f t="shared" ca="1" si="0"/>
        <v>49</v>
      </c>
      <c r="L6" s="8">
        <f t="shared" ca="1" si="0"/>
        <v>49</v>
      </c>
      <c r="M6" s="8">
        <f ca="1">$D6-SUM(E6:L6)</f>
        <v>55</v>
      </c>
      <c r="N6" s="8">
        <f ca="1">FLOOR($D6/6,1)</f>
        <v>74</v>
      </c>
      <c r="O6" s="8">
        <f t="shared" ref="O6:R6" ca="1" si="1">FLOOR($D6/6,1)</f>
        <v>74</v>
      </c>
      <c r="P6" s="8">
        <f t="shared" ca="1" si="1"/>
        <v>74</v>
      </c>
      <c r="Q6" s="8">
        <f t="shared" ca="1" si="1"/>
        <v>74</v>
      </c>
      <c r="R6" s="8">
        <f t="shared" ca="1" si="1"/>
        <v>74</v>
      </c>
      <c r="S6" s="8">
        <f ca="1">$D6-SUM(N6:R6)</f>
        <v>77</v>
      </c>
      <c r="T6" s="8">
        <f ca="1">FLOOR($D6/6, 1)</f>
        <v>74</v>
      </c>
      <c r="U6" s="8">
        <f t="shared" ref="U6:X6" ca="1" si="2">FLOOR($D6/6, 1)</f>
        <v>74</v>
      </c>
      <c r="V6" s="8">
        <f t="shared" ca="1" si="2"/>
        <v>74</v>
      </c>
      <c r="W6" s="8">
        <f t="shared" ca="1" si="2"/>
        <v>74</v>
      </c>
      <c r="X6" s="8">
        <f t="shared" ca="1" si="2"/>
        <v>74</v>
      </c>
      <c r="Y6" s="8">
        <f ca="1">$D6-SUM(T6:X6)</f>
        <v>77</v>
      </c>
    </row>
    <row r="7" spans="1:25" x14ac:dyDescent="0.25">
      <c r="A7" s="21"/>
      <c r="B7" s="21"/>
      <c r="C7" s="10" t="s">
        <v>25</v>
      </c>
      <c r="D7" s="8">
        <f ca="1">RANDBETWEEN(500,1500)</f>
        <v>1070</v>
      </c>
      <c r="E7" s="8">
        <f ca="1">FLOOR($D$7/9,1)</f>
        <v>118</v>
      </c>
      <c r="F7" s="8">
        <f t="shared" ref="F7:L7" ca="1" si="3">FLOOR($D$7/9,1)</f>
        <v>118</v>
      </c>
      <c r="G7" s="8">
        <f t="shared" ca="1" si="3"/>
        <v>118</v>
      </c>
      <c r="H7" s="8">
        <f t="shared" ca="1" si="3"/>
        <v>118</v>
      </c>
      <c r="I7" s="8">
        <f t="shared" ca="1" si="3"/>
        <v>118</v>
      </c>
      <c r="J7" s="8">
        <f t="shared" ca="1" si="3"/>
        <v>118</v>
      </c>
      <c r="K7" s="8">
        <f t="shared" ca="1" si="3"/>
        <v>118</v>
      </c>
      <c r="L7" s="8">
        <f t="shared" ca="1" si="3"/>
        <v>118</v>
      </c>
      <c r="M7" s="8">
        <f ca="1">$D7-SUM(E7:L7)</f>
        <v>126</v>
      </c>
      <c r="N7" s="8">
        <f ca="1">FLOOR($D$7/6, 1)</f>
        <v>178</v>
      </c>
      <c r="O7" s="8">
        <f t="shared" ref="O7:R7" ca="1" si="4">FLOOR($D$7/6, 1)</f>
        <v>178</v>
      </c>
      <c r="P7" s="8">
        <f t="shared" ca="1" si="4"/>
        <v>178</v>
      </c>
      <c r="Q7" s="8">
        <f t="shared" ca="1" si="4"/>
        <v>178</v>
      </c>
      <c r="R7" s="8">
        <f t="shared" ca="1" si="4"/>
        <v>178</v>
      </c>
      <c r="S7" s="8">
        <f ca="1">$D7-SUM(N7:R7)</f>
        <v>180</v>
      </c>
      <c r="T7" s="8">
        <f ca="1">FLOOR($D$7/6, 1)</f>
        <v>178</v>
      </c>
      <c r="U7" s="8">
        <f t="shared" ref="U7:X7" ca="1" si="5">FLOOR($D$7/6, 1)</f>
        <v>178</v>
      </c>
      <c r="V7" s="8">
        <f t="shared" ca="1" si="5"/>
        <v>178</v>
      </c>
      <c r="W7" s="8">
        <f t="shared" ca="1" si="5"/>
        <v>178</v>
      </c>
      <c r="X7" s="8">
        <f t="shared" ca="1" si="5"/>
        <v>178</v>
      </c>
      <c r="Y7" s="8">
        <f ca="1">$D7-SUM(T7:X7)</f>
        <v>180</v>
      </c>
    </row>
    <row r="8" spans="1:25" ht="30" x14ac:dyDescent="0.25">
      <c r="A8" s="21"/>
      <c r="B8" s="21"/>
      <c r="C8" s="17" t="s">
        <v>110</v>
      </c>
      <c r="D8" s="5">
        <f t="shared" ref="D8:Y8" ca="1" si="6">IFERROR(D6/D7*1000,0)</f>
        <v>417.75700934579442</v>
      </c>
      <c r="E8" s="5">
        <f t="shared" ca="1" si="6"/>
        <v>415.25423728813558</v>
      </c>
      <c r="F8" s="5">
        <f t="shared" ca="1" si="6"/>
        <v>415.25423728813558</v>
      </c>
      <c r="G8" s="5">
        <f t="shared" ca="1" si="6"/>
        <v>415.25423728813558</v>
      </c>
      <c r="H8" s="5">
        <f t="shared" ca="1" si="6"/>
        <v>415.25423728813558</v>
      </c>
      <c r="I8" s="5">
        <f t="shared" ca="1" si="6"/>
        <v>415.25423728813558</v>
      </c>
      <c r="J8" s="5">
        <f t="shared" ca="1" si="6"/>
        <v>415.25423728813558</v>
      </c>
      <c r="K8" s="5">
        <f t="shared" ca="1" si="6"/>
        <v>415.25423728813558</v>
      </c>
      <c r="L8" s="5">
        <f t="shared" ca="1" si="6"/>
        <v>415.25423728813558</v>
      </c>
      <c r="M8" s="5">
        <f t="shared" ca="1" si="6"/>
        <v>436.50793650793651</v>
      </c>
      <c r="N8" s="5">
        <f t="shared" ca="1" si="6"/>
        <v>415.7303370786517</v>
      </c>
      <c r="O8" s="5">
        <f t="shared" ca="1" si="6"/>
        <v>415.7303370786517</v>
      </c>
      <c r="P8" s="5">
        <f t="shared" ca="1" si="6"/>
        <v>415.7303370786517</v>
      </c>
      <c r="Q8" s="5">
        <f t="shared" ca="1" si="6"/>
        <v>415.7303370786517</v>
      </c>
      <c r="R8" s="5">
        <f t="shared" ca="1" si="6"/>
        <v>415.7303370786517</v>
      </c>
      <c r="S8" s="5">
        <f t="shared" ca="1" si="6"/>
        <v>427.77777777777777</v>
      </c>
      <c r="T8" s="5">
        <f t="shared" ca="1" si="6"/>
        <v>415.7303370786517</v>
      </c>
      <c r="U8" s="5">
        <f t="shared" ca="1" si="6"/>
        <v>415.7303370786517</v>
      </c>
      <c r="V8" s="5">
        <f t="shared" ca="1" si="6"/>
        <v>415.7303370786517</v>
      </c>
      <c r="W8" s="5">
        <f t="shared" ca="1" si="6"/>
        <v>415.7303370786517</v>
      </c>
      <c r="X8" s="5">
        <f t="shared" ca="1" si="6"/>
        <v>415.7303370786517</v>
      </c>
      <c r="Y8" s="5">
        <f t="shared" ca="1" si="6"/>
        <v>427.77777777777777</v>
      </c>
    </row>
    <row r="9" spans="1:25" ht="30" x14ac:dyDescent="0.25">
      <c r="A9" s="21" t="s">
        <v>21</v>
      </c>
      <c r="B9" s="21" t="s">
        <v>26</v>
      </c>
      <c r="C9" s="10" t="s">
        <v>115</v>
      </c>
      <c r="D9" s="8">
        <f ca="1">RANDBETWEEN(D10*0.8,D10*0.9)</f>
        <v>870</v>
      </c>
      <c r="E9" s="8">
        <f ca="1">FLOOR($D9/9,1)</f>
        <v>96</v>
      </c>
      <c r="F9" s="8">
        <f t="shared" ref="F9:L9" ca="1" si="7">FLOOR($D9/9,1)</f>
        <v>96</v>
      </c>
      <c r="G9" s="8">
        <f t="shared" ca="1" si="7"/>
        <v>96</v>
      </c>
      <c r="H9" s="8">
        <f t="shared" ca="1" si="7"/>
        <v>96</v>
      </c>
      <c r="I9" s="8">
        <f t="shared" ca="1" si="7"/>
        <v>96</v>
      </c>
      <c r="J9" s="8">
        <f t="shared" ca="1" si="7"/>
        <v>96</v>
      </c>
      <c r="K9" s="8">
        <f t="shared" ca="1" si="7"/>
        <v>96</v>
      </c>
      <c r="L9" s="8">
        <f t="shared" ca="1" si="7"/>
        <v>96</v>
      </c>
      <c r="M9" s="8">
        <f ca="1">$D9-SUM(E9:L9)</f>
        <v>102</v>
      </c>
      <c r="N9" s="8">
        <f t="shared" ref="N9:R9" ca="1" si="8">FLOOR($D9/6,1)</f>
        <v>145</v>
      </c>
      <c r="O9" s="8">
        <f t="shared" ca="1" si="8"/>
        <v>145</v>
      </c>
      <c r="P9" s="8">
        <f t="shared" ca="1" si="8"/>
        <v>145</v>
      </c>
      <c r="Q9" s="8">
        <f t="shared" ca="1" si="8"/>
        <v>145</v>
      </c>
      <c r="R9" s="8">
        <f t="shared" ca="1" si="8"/>
        <v>145</v>
      </c>
      <c r="S9" s="8">
        <f ca="1">$D9-SUM(N9:R9)</f>
        <v>145</v>
      </c>
      <c r="T9" s="8">
        <f t="shared" ref="T9:X9" ca="1" si="9">FLOOR($D9/6, 1)</f>
        <v>145</v>
      </c>
      <c r="U9" s="8">
        <f t="shared" ca="1" si="9"/>
        <v>145</v>
      </c>
      <c r="V9" s="8">
        <f t="shared" ca="1" si="9"/>
        <v>145</v>
      </c>
      <c r="W9" s="8">
        <f t="shared" ca="1" si="9"/>
        <v>145</v>
      </c>
      <c r="X9" s="8">
        <f t="shared" ca="1" si="9"/>
        <v>145</v>
      </c>
      <c r="Y9" s="8">
        <f ca="1">$D9-SUM(T9:X9)</f>
        <v>145</v>
      </c>
    </row>
    <row r="10" spans="1:25" x14ac:dyDescent="0.25">
      <c r="A10" s="21"/>
      <c r="B10" s="21"/>
      <c r="C10" s="10" t="s">
        <v>25</v>
      </c>
      <c r="D10" s="8">
        <f ca="1">D7</f>
        <v>1070</v>
      </c>
      <c r="E10" s="8">
        <f t="shared" ref="E10:Y10" ca="1" si="10">E7</f>
        <v>118</v>
      </c>
      <c r="F10" s="8">
        <f t="shared" ca="1" si="10"/>
        <v>118</v>
      </c>
      <c r="G10" s="8">
        <f t="shared" ca="1" si="10"/>
        <v>118</v>
      </c>
      <c r="H10" s="8">
        <f t="shared" ca="1" si="10"/>
        <v>118</v>
      </c>
      <c r="I10" s="8">
        <f t="shared" ca="1" si="10"/>
        <v>118</v>
      </c>
      <c r="J10" s="8">
        <f t="shared" ca="1" si="10"/>
        <v>118</v>
      </c>
      <c r="K10" s="8">
        <f t="shared" ca="1" si="10"/>
        <v>118</v>
      </c>
      <c r="L10" s="8">
        <f t="shared" ca="1" si="10"/>
        <v>118</v>
      </c>
      <c r="M10" s="8">
        <f t="shared" ca="1" si="10"/>
        <v>126</v>
      </c>
      <c r="N10" s="8">
        <f t="shared" ca="1" si="10"/>
        <v>178</v>
      </c>
      <c r="O10" s="8">
        <f t="shared" ca="1" si="10"/>
        <v>178</v>
      </c>
      <c r="P10" s="8">
        <f t="shared" ca="1" si="10"/>
        <v>178</v>
      </c>
      <c r="Q10" s="8">
        <f t="shared" ca="1" si="10"/>
        <v>178</v>
      </c>
      <c r="R10" s="8">
        <f t="shared" ca="1" si="10"/>
        <v>178</v>
      </c>
      <c r="S10" s="8">
        <f t="shared" ca="1" si="10"/>
        <v>180</v>
      </c>
      <c r="T10" s="8">
        <f t="shared" ca="1" si="10"/>
        <v>178</v>
      </c>
      <c r="U10" s="8">
        <f t="shared" ca="1" si="10"/>
        <v>178</v>
      </c>
      <c r="V10" s="8">
        <f t="shared" ca="1" si="10"/>
        <v>178</v>
      </c>
      <c r="W10" s="8">
        <f t="shared" ca="1" si="10"/>
        <v>178</v>
      </c>
      <c r="X10" s="8">
        <f t="shared" ca="1" si="10"/>
        <v>178</v>
      </c>
      <c r="Y10" s="8">
        <f t="shared" ca="1" si="10"/>
        <v>180</v>
      </c>
    </row>
    <row r="11" spans="1:25" ht="30" x14ac:dyDescent="0.25">
      <c r="A11" s="21"/>
      <c r="B11" s="21"/>
      <c r="C11" s="17" t="s">
        <v>116</v>
      </c>
      <c r="D11" s="5">
        <f t="shared" ref="D11:Y11" ca="1" si="11">IFERROR(D9/D10*1000,0)</f>
        <v>813.08411214953264</v>
      </c>
      <c r="E11" s="5">
        <f t="shared" ca="1" si="11"/>
        <v>813.55932203389841</v>
      </c>
      <c r="F11" s="5">
        <f t="shared" ca="1" si="11"/>
        <v>813.55932203389841</v>
      </c>
      <c r="G11" s="5">
        <f t="shared" ca="1" si="11"/>
        <v>813.55932203389841</v>
      </c>
      <c r="H11" s="5">
        <f t="shared" ca="1" si="11"/>
        <v>813.55932203389841</v>
      </c>
      <c r="I11" s="5">
        <f t="shared" ca="1" si="11"/>
        <v>813.55932203389841</v>
      </c>
      <c r="J11" s="5">
        <f t="shared" ca="1" si="11"/>
        <v>813.55932203389841</v>
      </c>
      <c r="K11" s="5">
        <f t="shared" ca="1" si="11"/>
        <v>813.55932203389841</v>
      </c>
      <c r="L11" s="5">
        <f t="shared" ca="1" si="11"/>
        <v>813.55932203389841</v>
      </c>
      <c r="M11" s="5">
        <f t="shared" ca="1" si="11"/>
        <v>809.52380952380952</v>
      </c>
      <c r="N11" s="5">
        <f t="shared" ca="1" si="11"/>
        <v>814.60674157303367</v>
      </c>
      <c r="O11" s="5">
        <f t="shared" ca="1" si="11"/>
        <v>814.60674157303367</v>
      </c>
      <c r="P11" s="5">
        <f t="shared" ca="1" si="11"/>
        <v>814.60674157303367</v>
      </c>
      <c r="Q11" s="5">
        <f t="shared" ca="1" si="11"/>
        <v>814.60674157303367</v>
      </c>
      <c r="R11" s="5">
        <f t="shared" ca="1" si="11"/>
        <v>814.60674157303367</v>
      </c>
      <c r="S11" s="5">
        <f t="shared" ca="1" si="11"/>
        <v>805.55555555555554</v>
      </c>
      <c r="T11" s="5">
        <f t="shared" ca="1" si="11"/>
        <v>814.60674157303367</v>
      </c>
      <c r="U11" s="5">
        <f t="shared" ca="1" si="11"/>
        <v>814.60674157303367</v>
      </c>
      <c r="V11" s="5">
        <f t="shared" ca="1" si="11"/>
        <v>814.60674157303367</v>
      </c>
      <c r="W11" s="5">
        <f t="shared" ca="1" si="11"/>
        <v>814.60674157303367</v>
      </c>
      <c r="X11" s="5">
        <f t="shared" ca="1" si="11"/>
        <v>814.60674157303367</v>
      </c>
      <c r="Y11" s="5">
        <f t="shared" ca="1" si="11"/>
        <v>805.55555555555554</v>
      </c>
    </row>
    <row r="12" spans="1:25" ht="30" x14ac:dyDescent="0.25">
      <c r="A12" s="21" t="s">
        <v>21</v>
      </c>
      <c r="B12" s="21" t="s">
        <v>26</v>
      </c>
      <c r="C12" s="10" t="s">
        <v>113</v>
      </c>
      <c r="D12" s="8">
        <f ca="1">RANDBETWEEN(D13*0.1,D13*0.3)</f>
        <v>312</v>
      </c>
      <c r="E12" s="8">
        <f ca="1">FLOOR($D12/9,1)</f>
        <v>34</v>
      </c>
      <c r="F12" s="8">
        <f t="shared" ref="F12:L12" ca="1" si="12">FLOOR($D12/9,1)</f>
        <v>34</v>
      </c>
      <c r="G12" s="8">
        <f t="shared" ca="1" si="12"/>
        <v>34</v>
      </c>
      <c r="H12" s="8">
        <f t="shared" ca="1" si="12"/>
        <v>34</v>
      </c>
      <c r="I12" s="8">
        <f t="shared" ca="1" si="12"/>
        <v>34</v>
      </c>
      <c r="J12" s="8">
        <f t="shared" ca="1" si="12"/>
        <v>34</v>
      </c>
      <c r="K12" s="8">
        <f t="shared" ca="1" si="12"/>
        <v>34</v>
      </c>
      <c r="L12" s="8">
        <f t="shared" ca="1" si="12"/>
        <v>34</v>
      </c>
      <c r="M12" s="8">
        <f ca="1">$D12-SUM(E12:L12)</f>
        <v>40</v>
      </c>
      <c r="N12" s="8">
        <f t="shared" ref="N12:R12" ca="1" si="13">FLOOR($D12/6,1)</f>
        <v>52</v>
      </c>
      <c r="O12" s="8">
        <f t="shared" ca="1" si="13"/>
        <v>52</v>
      </c>
      <c r="P12" s="8">
        <f t="shared" ca="1" si="13"/>
        <v>52</v>
      </c>
      <c r="Q12" s="8">
        <f t="shared" ca="1" si="13"/>
        <v>52</v>
      </c>
      <c r="R12" s="8">
        <f t="shared" ca="1" si="13"/>
        <v>52</v>
      </c>
      <c r="S12" s="8">
        <f ca="1">$D12-SUM(N12:R12)</f>
        <v>52</v>
      </c>
      <c r="T12" s="8">
        <f t="shared" ref="T12:X12" ca="1" si="14">FLOOR($D12/6, 1)</f>
        <v>52</v>
      </c>
      <c r="U12" s="8">
        <f t="shared" ca="1" si="14"/>
        <v>52</v>
      </c>
      <c r="V12" s="8">
        <f t="shared" ca="1" si="14"/>
        <v>52</v>
      </c>
      <c r="W12" s="8">
        <f t="shared" ca="1" si="14"/>
        <v>52</v>
      </c>
      <c r="X12" s="8">
        <f t="shared" ca="1" si="14"/>
        <v>52</v>
      </c>
      <c r="Y12" s="8">
        <f ca="1">$D12-SUM(T12:X12)</f>
        <v>52</v>
      </c>
    </row>
    <row r="13" spans="1:25" x14ac:dyDescent="0.25">
      <c r="A13" s="21"/>
      <c r="B13" s="21"/>
      <c r="C13" s="10" t="s">
        <v>25</v>
      </c>
      <c r="D13" s="8">
        <f ca="1">D10</f>
        <v>1070</v>
      </c>
      <c r="E13" s="8">
        <f t="shared" ref="E13:Y13" ca="1" si="15">E10</f>
        <v>118</v>
      </c>
      <c r="F13" s="8">
        <f t="shared" ca="1" si="15"/>
        <v>118</v>
      </c>
      <c r="G13" s="8">
        <f t="shared" ca="1" si="15"/>
        <v>118</v>
      </c>
      <c r="H13" s="8">
        <f t="shared" ca="1" si="15"/>
        <v>118</v>
      </c>
      <c r="I13" s="8">
        <f t="shared" ca="1" si="15"/>
        <v>118</v>
      </c>
      <c r="J13" s="8">
        <f t="shared" ca="1" si="15"/>
        <v>118</v>
      </c>
      <c r="K13" s="8">
        <f t="shared" ca="1" si="15"/>
        <v>118</v>
      </c>
      <c r="L13" s="8">
        <f t="shared" ca="1" si="15"/>
        <v>118</v>
      </c>
      <c r="M13" s="8">
        <f t="shared" ca="1" si="15"/>
        <v>126</v>
      </c>
      <c r="N13" s="8">
        <f t="shared" ca="1" si="15"/>
        <v>178</v>
      </c>
      <c r="O13" s="8">
        <f t="shared" ca="1" si="15"/>
        <v>178</v>
      </c>
      <c r="P13" s="8">
        <f t="shared" ca="1" si="15"/>
        <v>178</v>
      </c>
      <c r="Q13" s="8">
        <f t="shared" ca="1" si="15"/>
        <v>178</v>
      </c>
      <c r="R13" s="8">
        <f t="shared" ca="1" si="15"/>
        <v>178</v>
      </c>
      <c r="S13" s="8">
        <f t="shared" ca="1" si="15"/>
        <v>180</v>
      </c>
      <c r="T13" s="8">
        <f t="shared" ca="1" si="15"/>
        <v>178</v>
      </c>
      <c r="U13" s="8">
        <f t="shared" ca="1" si="15"/>
        <v>178</v>
      </c>
      <c r="V13" s="8">
        <f t="shared" ca="1" si="15"/>
        <v>178</v>
      </c>
      <c r="W13" s="8">
        <f t="shared" ca="1" si="15"/>
        <v>178</v>
      </c>
      <c r="X13" s="8">
        <f t="shared" ca="1" si="15"/>
        <v>178</v>
      </c>
      <c r="Y13" s="8">
        <f t="shared" ca="1" si="15"/>
        <v>180</v>
      </c>
    </row>
    <row r="14" spans="1:25" ht="30" x14ac:dyDescent="0.25">
      <c r="A14" s="21"/>
      <c r="B14" s="21"/>
      <c r="C14" s="17" t="s">
        <v>114</v>
      </c>
      <c r="D14" s="5">
        <f t="shared" ref="D14:Y14" ca="1" si="16">IFERROR(D12/D13*1000,0)</f>
        <v>291.58878504672896</v>
      </c>
      <c r="E14" s="5">
        <f t="shared" ca="1" si="16"/>
        <v>288.13559322033899</v>
      </c>
      <c r="F14" s="5">
        <f t="shared" ca="1" si="16"/>
        <v>288.13559322033899</v>
      </c>
      <c r="G14" s="5">
        <f t="shared" ca="1" si="16"/>
        <v>288.13559322033899</v>
      </c>
      <c r="H14" s="5">
        <f t="shared" ca="1" si="16"/>
        <v>288.13559322033899</v>
      </c>
      <c r="I14" s="5">
        <f t="shared" ca="1" si="16"/>
        <v>288.13559322033899</v>
      </c>
      <c r="J14" s="5">
        <f t="shared" ca="1" si="16"/>
        <v>288.13559322033899</v>
      </c>
      <c r="K14" s="5">
        <f t="shared" ca="1" si="16"/>
        <v>288.13559322033899</v>
      </c>
      <c r="L14" s="5">
        <f t="shared" ca="1" si="16"/>
        <v>288.13559322033899</v>
      </c>
      <c r="M14" s="5">
        <f t="shared" ca="1" si="16"/>
        <v>317.46031746031747</v>
      </c>
      <c r="N14" s="5">
        <f t="shared" ca="1" si="16"/>
        <v>292.13483146067415</v>
      </c>
      <c r="O14" s="5">
        <f t="shared" ca="1" si="16"/>
        <v>292.13483146067415</v>
      </c>
      <c r="P14" s="5">
        <f t="shared" ca="1" si="16"/>
        <v>292.13483146067415</v>
      </c>
      <c r="Q14" s="5">
        <f t="shared" ca="1" si="16"/>
        <v>292.13483146067415</v>
      </c>
      <c r="R14" s="5">
        <f t="shared" ca="1" si="16"/>
        <v>292.13483146067415</v>
      </c>
      <c r="S14" s="5">
        <f t="shared" ca="1" si="16"/>
        <v>288.88888888888886</v>
      </c>
      <c r="T14" s="5">
        <f t="shared" ca="1" si="16"/>
        <v>292.13483146067415</v>
      </c>
      <c r="U14" s="5">
        <f t="shared" ca="1" si="16"/>
        <v>292.13483146067415</v>
      </c>
      <c r="V14" s="5">
        <f t="shared" ca="1" si="16"/>
        <v>292.13483146067415</v>
      </c>
      <c r="W14" s="5">
        <f t="shared" ca="1" si="16"/>
        <v>292.13483146067415</v>
      </c>
      <c r="X14" s="5">
        <f t="shared" ca="1" si="16"/>
        <v>292.13483146067415</v>
      </c>
      <c r="Y14" s="5">
        <f t="shared" ca="1" si="16"/>
        <v>288.88888888888886</v>
      </c>
    </row>
    <row r="15" spans="1:25" ht="30" x14ac:dyDescent="0.25">
      <c r="A15" s="21" t="s">
        <v>22</v>
      </c>
      <c r="B15" s="21" t="s">
        <v>26</v>
      </c>
      <c r="C15" s="10" t="s">
        <v>118</v>
      </c>
      <c r="D15" s="8">
        <f ca="1">RANDBETWEEN(D16*0.05,D16*0.1)</f>
        <v>64</v>
      </c>
      <c r="E15" s="8">
        <f ca="1">FLOOR($D15/9,1)</f>
        <v>7</v>
      </c>
      <c r="F15" s="8">
        <f t="shared" ref="F15:L15" ca="1" si="17">FLOOR($D15/9,1)</f>
        <v>7</v>
      </c>
      <c r="G15" s="8">
        <f t="shared" ca="1" si="17"/>
        <v>7</v>
      </c>
      <c r="H15" s="8">
        <f t="shared" ca="1" si="17"/>
        <v>7</v>
      </c>
      <c r="I15" s="8">
        <f t="shared" ca="1" si="17"/>
        <v>7</v>
      </c>
      <c r="J15" s="8">
        <f t="shared" ca="1" si="17"/>
        <v>7</v>
      </c>
      <c r="K15" s="8">
        <f t="shared" ca="1" si="17"/>
        <v>7</v>
      </c>
      <c r="L15" s="8">
        <f t="shared" ca="1" si="17"/>
        <v>7</v>
      </c>
      <c r="M15" s="8">
        <f ca="1">$D15-SUM(E15:L15)</f>
        <v>8</v>
      </c>
      <c r="N15" s="8">
        <f t="shared" ref="N15:R15" ca="1" si="18">FLOOR($D15/6,1)</f>
        <v>10</v>
      </c>
      <c r="O15" s="8">
        <f t="shared" ca="1" si="18"/>
        <v>10</v>
      </c>
      <c r="P15" s="8">
        <f t="shared" ca="1" si="18"/>
        <v>10</v>
      </c>
      <c r="Q15" s="8">
        <f t="shared" ca="1" si="18"/>
        <v>10</v>
      </c>
      <c r="R15" s="8">
        <f t="shared" ca="1" si="18"/>
        <v>10</v>
      </c>
      <c r="S15" s="8">
        <f ca="1">$D15-SUM(N15:R15)</f>
        <v>14</v>
      </c>
      <c r="T15" s="8">
        <f t="shared" ref="T15:X15" ca="1" si="19">FLOOR($D15/6, 1)</f>
        <v>10</v>
      </c>
      <c r="U15" s="8">
        <f t="shared" ca="1" si="19"/>
        <v>10</v>
      </c>
      <c r="V15" s="8">
        <f t="shared" ca="1" si="19"/>
        <v>10</v>
      </c>
      <c r="W15" s="8">
        <f t="shared" ca="1" si="19"/>
        <v>10</v>
      </c>
      <c r="X15" s="8">
        <f t="shared" ca="1" si="19"/>
        <v>10</v>
      </c>
      <c r="Y15" s="8">
        <f ca="1">$D15-SUM(T15:X15)</f>
        <v>14</v>
      </c>
    </row>
    <row r="16" spans="1:25" x14ac:dyDescent="0.25">
      <c r="A16" s="21"/>
      <c r="B16" s="21"/>
      <c r="C16" s="10" t="s">
        <v>25</v>
      </c>
      <c r="D16" s="3">
        <f t="shared" ref="D16:Y16" ca="1" si="20">D7</f>
        <v>1070</v>
      </c>
      <c r="E16" s="3">
        <f t="shared" ca="1" si="20"/>
        <v>118</v>
      </c>
      <c r="F16" s="3">
        <f t="shared" ca="1" si="20"/>
        <v>118</v>
      </c>
      <c r="G16" s="3">
        <f t="shared" ca="1" si="20"/>
        <v>118</v>
      </c>
      <c r="H16" s="3">
        <f t="shared" ca="1" si="20"/>
        <v>118</v>
      </c>
      <c r="I16" s="3">
        <f t="shared" ca="1" si="20"/>
        <v>118</v>
      </c>
      <c r="J16" s="3">
        <f t="shared" ca="1" si="20"/>
        <v>118</v>
      </c>
      <c r="K16" s="3">
        <f t="shared" ca="1" si="20"/>
        <v>118</v>
      </c>
      <c r="L16" s="3">
        <f t="shared" ca="1" si="20"/>
        <v>118</v>
      </c>
      <c r="M16" s="3">
        <f t="shared" ca="1" si="20"/>
        <v>126</v>
      </c>
      <c r="N16" s="3">
        <f t="shared" ca="1" si="20"/>
        <v>178</v>
      </c>
      <c r="O16" s="3">
        <f t="shared" ca="1" si="20"/>
        <v>178</v>
      </c>
      <c r="P16" s="3">
        <f t="shared" ca="1" si="20"/>
        <v>178</v>
      </c>
      <c r="Q16" s="3">
        <f t="shared" ca="1" si="20"/>
        <v>178</v>
      </c>
      <c r="R16" s="3">
        <f t="shared" ca="1" si="20"/>
        <v>178</v>
      </c>
      <c r="S16" s="3">
        <f t="shared" ca="1" si="20"/>
        <v>180</v>
      </c>
      <c r="T16" s="3">
        <f t="shared" ca="1" si="20"/>
        <v>178</v>
      </c>
      <c r="U16" s="3">
        <f t="shared" ca="1" si="20"/>
        <v>178</v>
      </c>
      <c r="V16" s="3">
        <f t="shared" ca="1" si="20"/>
        <v>178</v>
      </c>
      <c r="W16" s="3">
        <f t="shared" ca="1" si="20"/>
        <v>178</v>
      </c>
      <c r="X16" s="3">
        <f t="shared" ca="1" si="20"/>
        <v>178</v>
      </c>
      <c r="Y16" s="3">
        <f t="shared" ca="1" si="20"/>
        <v>180</v>
      </c>
    </row>
    <row r="17" spans="1:25" ht="45" x14ac:dyDescent="0.25">
      <c r="A17" s="21"/>
      <c r="B17" s="21"/>
      <c r="C17" s="17" t="s">
        <v>117</v>
      </c>
      <c r="D17" s="5">
        <f t="shared" ref="D17:Y17" ca="1" si="21">IFERROR(D15/D16*1000,0)</f>
        <v>59.813084112149532</v>
      </c>
      <c r="E17" s="5">
        <f t="shared" ca="1" si="21"/>
        <v>59.322033898305087</v>
      </c>
      <c r="F17" s="5">
        <f t="shared" ca="1" si="21"/>
        <v>59.322033898305087</v>
      </c>
      <c r="G17" s="5">
        <f t="shared" ca="1" si="21"/>
        <v>59.322033898305087</v>
      </c>
      <c r="H17" s="5">
        <f t="shared" ca="1" si="21"/>
        <v>59.322033898305087</v>
      </c>
      <c r="I17" s="5">
        <f t="shared" ca="1" si="21"/>
        <v>59.322033898305087</v>
      </c>
      <c r="J17" s="5">
        <f t="shared" ca="1" si="21"/>
        <v>59.322033898305087</v>
      </c>
      <c r="K17" s="5">
        <f t="shared" ca="1" si="21"/>
        <v>59.322033898305087</v>
      </c>
      <c r="L17" s="5">
        <f t="shared" ca="1" si="21"/>
        <v>59.322033898305087</v>
      </c>
      <c r="M17" s="5">
        <f t="shared" ca="1" si="21"/>
        <v>63.492063492063487</v>
      </c>
      <c r="N17" s="5">
        <f t="shared" ca="1" si="21"/>
        <v>56.179775280898873</v>
      </c>
      <c r="O17" s="5">
        <f t="shared" ca="1" si="21"/>
        <v>56.179775280898873</v>
      </c>
      <c r="P17" s="5">
        <f t="shared" ca="1" si="21"/>
        <v>56.179775280898873</v>
      </c>
      <c r="Q17" s="5">
        <f t="shared" ca="1" si="21"/>
        <v>56.179775280898873</v>
      </c>
      <c r="R17" s="5">
        <f t="shared" ca="1" si="21"/>
        <v>56.179775280898873</v>
      </c>
      <c r="S17" s="5">
        <f t="shared" ca="1" si="21"/>
        <v>77.777777777777786</v>
      </c>
      <c r="T17" s="5">
        <f t="shared" ca="1" si="21"/>
        <v>56.179775280898873</v>
      </c>
      <c r="U17" s="5">
        <f t="shared" ca="1" si="21"/>
        <v>56.179775280898873</v>
      </c>
      <c r="V17" s="5">
        <f t="shared" ca="1" si="21"/>
        <v>56.179775280898873</v>
      </c>
      <c r="W17" s="5">
        <f t="shared" ca="1" si="21"/>
        <v>56.179775280898873</v>
      </c>
      <c r="X17" s="5">
        <f t="shared" ca="1" si="21"/>
        <v>56.179775280898873</v>
      </c>
      <c r="Y17" s="5">
        <f t="shared" ca="1" si="21"/>
        <v>77.777777777777786</v>
      </c>
    </row>
    <row r="18" spans="1:25" ht="45" x14ac:dyDescent="0.25">
      <c r="A18" s="21" t="s">
        <v>22</v>
      </c>
      <c r="B18" s="21" t="s">
        <v>26</v>
      </c>
      <c r="C18" s="10" t="s">
        <v>120</v>
      </c>
      <c r="D18" s="8">
        <f ca="1">RANDBETWEEN(D19*0.05,D19*0.1)</f>
        <v>95</v>
      </c>
      <c r="E18" s="8">
        <f ca="1">FLOOR($D18/9,1)</f>
        <v>10</v>
      </c>
      <c r="F18" s="8">
        <f t="shared" ref="F18:L18" ca="1" si="22">FLOOR($D18/9,1)</f>
        <v>10</v>
      </c>
      <c r="G18" s="8">
        <f t="shared" ca="1" si="22"/>
        <v>10</v>
      </c>
      <c r="H18" s="8">
        <f t="shared" ca="1" si="22"/>
        <v>10</v>
      </c>
      <c r="I18" s="8">
        <f t="shared" ca="1" si="22"/>
        <v>10</v>
      </c>
      <c r="J18" s="8">
        <f t="shared" ca="1" si="22"/>
        <v>10</v>
      </c>
      <c r="K18" s="8">
        <f t="shared" ca="1" si="22"/>
        <v>10</v>
      </c>
      <c r="L18" s="8">
        <f t="shared" ca="1" si="22"/>
        <v>10</v>
      </c>
      <c r="M18" s="8">
        <f ca="1">$D18-SUM(E18:L18)</f>
        <v>15</v>
      </c>
      <c r="N18" s="8">
        <f t="shared" ref="N18:R18" ca="1" si="23">FLOOR($D18/6,1)</f>
        <v>15</v>
      </c>
      <c r="O18" s="8">
        <f t="shared" ca="1" si="23"/>
        <v>15</v>
      </c>
      <c r="P18" s="8">
        <f t="shared" ca="1" si="23"/>
        <v>15</v>
      </c>
      <c r="Q18" s="8">
        <f t="shared" ca="1" si="23"/>
        <v>15</v>
      </c>
      <c r="R18" s="8">
        <f t="shared" ca="1" si="23"/>
        <v>15</v>
      </c>
      <c r="S18" s="8">
        <f ca="1">$D18-SUM(N18:R18)</f>
        <v>20</v>
      </c>
      <c r="T18" s="8">
        <f t="shared" ref="T18:X18" ca="1" si="24">FLOOR($D18/6, 1)</f>
        <v>15</v>
      </c>
      <c r="U18" s="8">
        <f t="shared" ca="1" si="24"/>
        <v>15</v>
      </c>
      <c r="V18" s="8">
        <f t="shared" ca="1" si="24"/>
        <v>15</v>
      </c>
      <c r="W18" s="8">
        <f t="shared" ca="1" si="24"/>
        <v>15</v>
      </c>
      <c r="X18" s="8">
        <f t="shared" ca="1" si="24"/>
        <v>15</v>
      </c>
      <c r="Y18" s="8">
        <f ca="1">$D18-SUM(T18:X18)</f>
        <v>20</v>
      </c>
    </row>
    <row r="19" spans="1:25" x14ac:dyDescent="0.25">
      <c r="A19" s="21"/>
      <c r="B19" s="21"/>
      <c r="C19" s="10" t="s">
        <v>25</v>
      </c>
      <c r="D19" s="3">
        <f t="shared" ref="D19:Y19" ca="1" si="25">D10</f>
        <v>1070</v>
      </c>
      <c r="E19" s="3">
        <f t="shared" ca="1" si="25"/>
        <v>118</v>
      </c>
      <c r="F19" s="3">
        <f t="shared" ca="1" si="25"/>
        <v>118</v>
      </c>
      <c r="G19" s="3">
        <f t="shared" ca="1" si="25"/>
        <v>118</v>
      </c>
      <c r="H19" s="3">
        <f t="shared" ca="1" si="25"/>
        <v>118</v>
      </c>
      <c r="I19" s="3">
        <f t="shared" ca="1" si="25"/>
        <v>118</v>
      </c>
      <c r="J19" s="3">
        <f t="shared" ca="1" si="25"/>
        <v>118</v>
      </c>
      <c r="K19" s="3">
        <f t="shared" ca="1" si="25"/>
        <v>118</v>
      </c>
      <c r="L19" s="3">
        <f t="shared" ca="1" si="25"/>
        <v>118</v>
      </c>
      <c r="M19" s="3">
        <f t="shared" ca="1" si="25"/>
        <v>126</v>
      </c>
      <c r="N19" s="3">
        <f t="shared" ca="1" si="25"/>
        <v>178</v>
      </c>
      <c r="O19" s="3">
        <f t="shared" ca="1" si="25"/>
        <v>178</v>
      </c>
      <c r="P19" s="3">
        <f t="shared" ca="1" si="25"/>
        <v>178</v>
      </c>
      <c r="Q19" s="3">
        <f t="shared" ca="1" si="25"/>
        <v>178</v>
      </c>
      <c r="R19" s="3">
        <f t="shared" ca="1" si="25"/>
        <v>178</v>
      </c>
      <c r="S19" s="3">
        <f t="shared" ca="1" si="25"/>
        <v>180</v>
      </c>
      <c r="T19" s="3">
        <f t="shared" ca="1" si="25"/>
        <v>178</v>
      </c>
      <c r="U19" s="3">
        <f t="shared" ca="1" si="25"/>
        <v>178</v>
      </c>
      <c r="V19" s="3">
        <f t="shared" ca="1" si="25"/>
        <v>178</v>
      </c>
      <c r="W19" s="3">
        <f t="shared" ca="1" si="25"/>
        <v>178</v>
      </c>
      <c r="X19" s="3">
        <f t="shared" ca="1" si="25"/>
        <v>178</v>
      </c>
      <c r="Y19" s="3">
        <f t="shared" ca="1" si="25"/>
        <v>180</v>
      </c>
    </row>
    <row r="20" spans="1:25" ht="45" x14ac:dyDescent="0.25">
      <c r="A20" s="21"/>
      <c r="B20" s="21"/>
      <c r="C20" s="17" t="s">
        <v>119</v>
      </c>
      <c r="D20" s="5">
        <f t="shared" ref="D20:Y20" ca="1" si="26">IFERROR(D18/D19*1000,0)</f>
        <v>88.785046728971963</v>
      </c>
      <c r="E20" s="5">
        <f t="shared" ca="1" si="26"/>
        <v>84.745762711864401</v>
      </c>
      <c r="F20" s="5">
        <f t="shared" ca="1" si="26"/>
        <v>84.745762711864401</v>
      </c>
      <c r="G20" s="5">
        <f t="shared" ca="1" si="26"/>
        <v>84.745762711864401</v>
      </c>
      <c r="H20" s="5">
        <f t="shared" ca="1" si="26"/>
        <v>84.745762711864401</v>
      </c>
      <c r="I20" s="5">
        <f t="shared" ca="1" si="26"/>
        <v>84.745762711864401</v>
      </c>
      <c r="J20" s="5">
        <f t="shared" ca="1" si="26"/>
        <v>84.745762711864401</v>
      </c>
      <c r="K20" s="5">
        <f t="shared" ca="1" si="26"/>
        <v>84.745762711864401</v>
      </c>
      <c r="L20" s="5">
        <f t="shared" ca="1" si="26"/>
        <v>84.745762711864401</v>
      </c>
      <c r="M20" s="5">
        <f t="shared" ca="1" si="26"/>
        <v>119.04761904761904</v>
      </c>
      <c r="N20" s="5">
        <f t="shared" ca="1" si="26"/>
        <v>84.269662921348313</v>
      </c>
      <c r="O20" s="5">
        <f t="shared" ca="1" si="26"/>
        <v>84.269662921348313</v>
      </c>
      <c r="P20" s="5">
        <f t="shared" ca="1" si="26"/>
        <v>84.269662921348313</v>
      </c>
      <c r="Q20" s="5">
        <f t="shared" ca="1" si="26"/>
        <v>84.269662921348313</v>
      </c>
      <c r="R20" s="5">
        <f t="shared" ca="1" si="26"/>
        <v>84.269662921348313</v>
      </c>
      <c r="S20" s="5">
        <f t="shared" ca="1" si="26"/>
        <v>111.1111111111111</v>
      </c>
      <c r="T20" s="5">
        <f t="shared" ca="1" si="26"/>
        <v>84.269662921348313</v>
      </c>
      <c r="U20" s="5">
        <f t="shared" ca="1" si="26"/>
        <v>84.269662921348313</v>
      </c>
      <c r="V20" s="5">
        <f t="shared" ca="1" si="26"/>
        <v>84.269662921348313</v>
      </c>
      <c r="W20" s="5">
        <f t="shared" ca="1" si="26"/>
        <v>84.269662921348313</v>
      </c>
      <c r="X20" s="5">
        <f t="shared" ca="1" si="26"/>
        <v>84.269662921348313</v>
      </c>
      <c r="Y20" s="5">
        <f t="shared" ca="1" si="26"/>
        <v>111.1111111111111</v>
      </c>
    </row>
    <row r="21" spans="1:25" x14ac:dyDescent="0.25">
      <c r="A21" s="21" t="s">
        <v>23</v>
      </c>
      <c r="B21" s="21" t="s">
        <v>26</v>
      </c>
      <c r="C21" s="10" t="s">
        <v>89</v>
      </c>
      <c r="D21" s="8">
        <f ca="1">RANDBETWEEN(D22*0.05,D22*0.1)</f>
        <v>99</v>
      </c>
      <c r="E21" s="8">
        <f ca="1">FLOOR($D21/9,1)</f>
        <v>11</v>
      </c>
      <c r="F21" s="8">
        <f t="shared" ref="F21:L21" ca="1" si="27">FLOOR($D21/9,1)</f>
        <v>11</v>
      </c>
      <c r="G21" s="8">
        <f t="shared" ca="1" si="27"/>
        <v>11</v>
      </c>
      <c r="H21" s="8">
        <f t="shared" ca="1" si="27"/>
        <v>11</v>
      </c>
      <c r="I21" s="8">
        <f t="shared" ca="1" si="27"/>
        <v>11</v>
      </c>
      <c r="J21" s="8">
        <f t="shared" ca="1" si="27"/>
        <v>11</v>
      </c>
      <c r="K21" s="8">
        <f t="shared" ca="1" si="27"/>
        <v>11</v>
      </c>
      <c r="L21" s="8">
        <f t="shared" ca="1" si="27"/>
        <v>11</v>
      </c>
      <c r="M21" s="8">
        <f ca="1">$D21-SUM(E21:L21)</f>
        <v>11</v>
      </c>
      <c r="N21" s="8">
        <f t="shared" ref="N21:R21" ca="1" si="28">FLOOR($D21/6,1)</f>
        <v>16</v>
      </c>
      <c r="O21" s="8">
        <f t="shared" ca="1" si="28"/>
        <v>16</v>
      </c>
      <c r="P21" s="8">
        <f t="shared" ca="1" si="28"/>
        <v>16</v>
      </c>
      <c r="Q21" s="8">
        <f t="shared" ca="1" si="28"/>
        <v>16</v>
      </c>
      <c r="R21" s="8">
        <f t="shared" ca="1" si="28"/>
        <v>16</v>
      </c>
      <c r="S21" s="8">
        <f ca="1">$D21-SUM(N21:R21)</f>
        <v>19</v>
      </c>
      <c r="T21" s="8">
        <f t="shared" ref="T21:X21" ca="1" si="29">FLOOR($D21/6, 1)</f>
        <v>16</v>
      </c>
      <c r="U21" s="8">
        <f t="shared" ca="1" si="29"/>
        <v>16</v>
      </c>
      <c r="V21" s="8">
        <f t="shared" ca="1" si="29"/>
        <v>16</v>
      </c>
      <c r="W21" s="8">
        <f t="shared" ca="1" si="29"/>
        <v>16</v>
      </c>
      <c r="X21" s="8">
        <f t="shared" ca="1" si="29"/>
        <v>16</v>
      </c>
      <c r="Y21" s="8">
        <f ca="1">$D21-SUM(T21:X21)</f>
        <v>19</v>
      </c>
    </row>
    <row r="22" spans="1:25" x14ac:dyDescent="0.25">
      <c r="A22" s="21"/>
      <c r="B22" s="21"/>
      <c r="C22" s="10" t="s">
        <v>25</v>
      </c>
      <c r="D22" s="3">
        <f t="shared" ref="D22:Y22" ca="1" si="30">D7</f>
        <v>1070</v>
      </c>
      <c r="E22" s="3">
        <f t="shared" ca="1" si="30"/>
        <v>118</v>
      </c>
      <c r="F22" s="3">
        <f t="shared" ca="1" si="30"/>
        <v>118</v>
      </c>
      <c r="G22" s="3">
        <f t="shared" ca="1" si="30"/>
        <v>118</v>
      </c>
      <c r="H22" s="3">
        <f t="shared" ca="1" si="30"/>
        <v>118</v>
      </c>
      <c r="I22" s="3">
        <f t="shared" ca="1" si="30"/>
        <v>118</v>
      </c>
      <c r="J22" s="3">
        <f t="shared" ca="1" si="30"/>
        <v>118</v>
      </c>
      <c r="K22" s="3">
        <f t="shared" ca="1" si="30"/>
        <v>118</v>
      </c>
      <c r="L22" s="3">
        <f t="shared" ca="1" si="30"/>
        <v>118</v>
      </c>
      <c r="M22" s="3">
        <f t="shared" ca="1" si="30"/>
        <v>126</v>
      </c>
      <c r="N22" s="3">
        <f t="shared" ca="1" si="30"/>
        <v>178</v>
      </c>
      <c r="O22" s="3">
        <f t="shared" ca="1" si="30"/>
        <v>178</v>
      </c>
      <c r="P22" s="3">
        <f t="shared" ca="1" si="30"/>
        <v>178</v>
      </c>
      <c r="Q22" s="3">
        <f t="shared" ca="1" si="30"/>
        <v>178</v>
      </c>
      <c r="R22" s="3">
        <f t="shared" ca="1" si="30"/>
        <v>178</v>
      </c>
      <c r="S22" s="3">
        <f t="shared" ca="1" si="30"/>
        <v>180</v>
      </c>
      <c r="T22" s="3">
        <f t="shared" ca="1" si="30"/>
        <v>178</v>
      </c>
      <c r="U22" s="3">
        <f t="shared" ca="1" si="30"/>
        <v>178</v>
      </c>
      <c r="V22" s="3">
        <f t="shared" ca="1" si="30"/>
        <v>178</v>
      </c>
      <c r="W22" s="3">
        <f t="shared" ca="1" si="30"/>
        <v>178</v>
      </c>
      <c r="X22" s="3">
        <f t="shared" ca="1" si="30"/>
        <v>178</v>
      </c>
      <c r="Y22" s="3">
        <f t="shared" ca="1" si="30"/>
        <v>180</v>
      </c>
    </row>
    <row r="23" spans="1:25" ht="30" x14ac:dyDescent="0.25">
      <c r="A23" s="21"/>
      <c r="B23" s="21"/>
      <c r="C23" s="17" t="s">
        <v>27</v>
      </c>
      <c r="D23" s="5">
        <f t="shared" ref="D23:Y23" ca="1" si="31">IFERROR(D21/D22*1000,0)</f>
        <v>92.523364485981304</v>
      </c>
      <c r="E23" s="5">
        <f t="shared" ca="1" si="31"/>
        <v>93.220338983050851</v>
      </c>
      <c r="F23" s="5">
        <f t="shared" ca="1" si="31"/>
        <v>93.220338983050851</v>
      </c>
      <c r="G23" s="5">
        <f t="shared" ca="1" si="31"/>
        <v>93.220338983050851</v>
      </c>
      <c r="H23" s="5">
        <f t="shared" ca="1" si="31"/>
        <v>93.220338983050851</v>
      </c>
      <c r="I23" s="5">
        <f t="shared" ca="1" si="31"/>
        <v>93.220338983050851</v>
      </c>
      <c r="J23" s="5">
        <f t="shared" ca="1" si="31"/>
        <v>93.220338983050851</v>
      </c>
      <c r="K23" s="5">
        <f t="shared" ca="1" si="31"/>
        <v>93.220338983050851</v>
      </c>
      <c r="L23" s="5">
        <f t="shared" ca="1" si="31"/>
        <v>93.220338983050851</v>
      </c>
      <c r="M23" s="5">
        <f t="shared" ca="1" si="31"/>
        <v>87.30158730158729</v>
      </c>
      <c r="N23" s="5">
        <f t="shared" ca="1" si="31"/>
        <v>89.887640449438194</v>
      </c>
      <c r="O23" s="5">
        <f t="shared" ca="1" si="31"/>
        <v>89.887640449438194</v>
      </c>
      <c r="P23" s="5">
        <f t="shared" ca="1" si="31"/>
        <v>89.887640449438194</v>
      </c>
      <c r="Q23" s="5">
        <f t="shared" ca="1" si="31"/>
        <v>89.887640449438194</v>
      </c>
      <c r="R23" s="5">
        <f t="shared" ca="1" si="31"/>
        <v>89.887640449438194</v>
      </c>
      <c r="S23" s="5">
        <f t="shared" ca="1" si="31"/>
        <v>105.55555555555556</v>
      </c>
      <c r="T23" s="5">
        <f t="shared" ca="1" si="31"/>
        <v>89.887640449438194</v>
      </c>
      <c r="U23" s="5">
        <f t="shared" ca="1" si="31"/>
        <v>89.887640449438194</v>
      </c>
      <c r="V23" s="5">
        <f t="shared" ca="1" si="31"/>
        <v>89.887640449438194</v>
      </c>
      <c r="W23" s="5">
        <f t="shared" ca="1" si="31"/>
        <v>89.887640449438194</v>
      </c>
      <c r="X23" s="5">
        <f t="shared" ca="1" si="31"/>
        <v>89.887640449438194</v>
      </c>
      <c r="Y23" s="5">
        <f t="shared" ca="1" si="31"/>
        <v>105.55555555555556</v>
      </c>
    </row>
    <row r="24" spans="1:25" ht="30" x14ac:dyDescent="0.25">
      <c r="A24" s="21" t="s">
        <v>24</v>
      </c>
      <c r="B24" s="21" t="s">
        <v>26</v>
      </c>
      <c r="C24" s="10" t="s">
        <v>121</v>
      </c>
      <c r="D24" s="8">
        <f ca="1">RANDBETWEEN(D25*0.1,D25*0.2)</f>
        <v>128</v>
      </c>
      <c r="E24" s="8">
        <f ca="1">FLOOR($D24/9,1)</f>
        <v>14</v>
      </c>
      <c r="F24" s="8">
        <f t="shared" ref="F24:L24" ca="1" si="32">FLOOR($D24/9,1)</f>
        <v>14</v>
      </c>
      <c r="G24" s="8">
        <f t="shared" ca="1" si="32"/>
        <v>14</v>
      </c>
      <c r="H24" s="8">
        <f t="shared" ca="1" si="32"/>
        <v>14</v>
      </c>
      <c r="I24" s="8">
        <f t="shared" ca="1" si="32"/>
        <v>14</v>
      </c>
      <c r="J24" s="8">
        <f t="shared" ca="1" si="32"/>
        <v>14</v>
      </c>
      <c r="K24" s="8">
        <f t="shared" ca="1" si="32"/>
        <v>14</v>
      </c>
      <c r="L24" s="8">
        <f t="shared" ca="1" si="32"/>
        <v>14</v>
      </c>
      <c r="M24" s="8">
        <f ca="1">$D24-SUM(E24:L24)</f>
        <v>16</v>
      </c>
      <c r="N24" s="8">
        <f t="shared" ref="N24:R24" ca="1" si="33">FLOOR($D24/6,1)</f>
        <v>21</v>
      </c>
      <c r="O24" s="8">
        <f t="shared" ca="1" si="33"/>
        <v>21</v>
      </c>
      <c r="P24" s="8">
        <f t="shared" ca="1" si="33"/>
        <v>21</v>
      </c>
      <c r="Q24" s="8">
        <f t="shared" ca="1" si="33"/>
        <v>21</v>
      </c>
      <c r="R24" s="8">
        <f t="shared" ca="1" si="33"/>
        <v>21</v>
      </c>
      <c r="S24" s="8">
        <f ca="1">$D24-SUM(N24:R24)</f>
        <v>23</v>
      </c>
      <c r="T24" s="8">
        <f t="shared" ref="T24:X24" ca="1" si="34">FLOOR($D24/6, 1)</f>
        <v>21</v>
      </c>
      <c r="U24" s="8">
        <f t="shared" ca="1" si="34"/>
        <v>21</v>
      </c>
      <c r="V24" s="8">
        <f t="shared" ca="1" si="34"/>
        <v>21</v>
      </c>
      <c r="W24" s="8">
        <f t="shared" ca="1" si="34"/>
        <v>21</v>
      </c>
      <c r="X24" s="8">
        <f t="shared" ca="1" si="34"/>
        <v>21</v>
      </c>
      <c r="Y24" s="8">
        <f ca="1">$D24-SUM(T24:X24)</f>
        <v>23</v>
      </c>
    </row>
    <row r="25" spans="1:25" x14ac:dyDescent="0.25">
      <c r="A25" s="21"/>
      <c r="B25" s="21"/>
      <c r="C25" s="10" t="s">
        <v>25</v>
      </c>
      <c r="D25" s="3">
        <f t="shared" ref="D25:Y25" ca="1" si="35">D16</f>
        <v>1070</v>
      </c>
      <c r="E25" s="3">
        <f t="shared" ca="1" si="35"/>
        <v>118</v>
      </c>
      <c r="F25" s="3">
        <f t="shared" ca="1" si="35"/>
        <v>118</v>
      </c>
      <c r="G25" s="3">
        <f t="shared" ca="1" si="35"/>
        <v>118</v>
      </c>
      <c r="H25" s="3">
        <f t="shared" ca="1" si="35"/>
        <v>118</v>
      </c>
      <c r="I25" s="3">
        <f t="shared" ca="1" si="35"/>
        <v>118</v>
      </c>
      <c r="J25" s="3">
        <f t="shared" ca="1" si="35"/>
        <v>118</v>
      </c>
      <c r="K25" s="3">
        <f t="shared" ca="1" si="35"/>
        <v>118</v>
      </c>
      <c r="L25" s="3">
        <f t="shared" ca="1" si="35"/>
        <v>118</v>
      </c>
      <c r="M25" s="3">
        <f t="shared" ca="1" si="35"/>
        <v>126</v>
      </c>
      <c r="N25" s="3">
        <f t="shared" ca="1" si="35"/>
        <v>178</v>
      </c>
      <c r="O25" s="3">
        <f t="shared" ca="1" si="35"/>
        <v>178</v>
      </c>
      <c r="P25" s="3">
        <f t="shared" ca="1" si="35"/>
        <v>178</v>
      </c>
      <c r="Q25" s="3">
        <f t="shared" ca="1" si="35"/>
        <v>178</v>
      </c>
      <c r="R25" s="3">
        <f t="shared" ca="1" si="35"/>
        <v>178</v>
      </c>
      <c r="S25" s="3">
        <f t="shared" ca="1" si="35"/>
        <v>180</v>
      </c>
      <c r="T25" s="3">
        <f t="shared" ca="1" si="35"/>
        <v>178</v>
      </c>
      <c r="U25" s="3">
        <f t="shared" ca="1" si="35"/>
        <v>178</v>
      </c>
      <c r="V25" s="3">
        <f t="shared" ca="1" si="35"/>
        <v>178</v>
      </c>
      <c r="W25" s="3">
        <f t="shared" ca="1" si="35"/>
        <v>178</v>
      </c>
      <c r="X25" s="3">
        <f t="shared" ca="1" si="35"/>
        <v>178</v>
      </c>
      <c r="Y25" s="3">
        <f t="shared" ca="1" si="35"/>
        <v>180</v>
      </c>
    </row>
    <row r="26" spans="1:25" ht="30" x14ac:dyDescent="0.25">
      <c r="A26" s="21"/>
      <c r="B26" s="21"/>
      <c r="C26" s="17" t="s">
        <v>122</v>
      </c>
      <c r="D26" s="5">
        <f t="shared" ref="D26:Y26" ca="1" si="36">IFERROR(D24/D25*1000,0)</f>
        <v>119.62616822429906</v>
      </c>
      <c r="E26" s="5">
        <f t="shared" ca="1" si="36"/>
        <v>118.64406779661017</v>
      </c>
      <c r="F26" s="5">
        <f t="shared" ca="1" si="36"/>
        <v>118.64406779661017</v>
      </c>
      <c r="G26" s="5">
        <f t="shared" ca="1" si="36"/>
        <v>118.64406779661017</v>
      </c>
      <c r="H26" s="5">
        <f t="shared" ca="1" si="36"/>
        <v>118.64406779661017</v>
      </c>
      <c r="I26" s="5">
        <f t="shared" ca="1" si="36"/>
        <v>118.64406779661017</v>
      </c>
      <c r="J26" s="5">
        <f t="shared" ca="1" si="36"/>
        <v>118.64406779661017</v>
      </c>
      <c r="K26" s="5">
        <f t="shared" ca="1" si="36"/>
        <v>118.64406779661017</v>
      </c>
      <c r="L26" s="5">
        <f t="shared" ca="1" si="36"/>
        <v>118.64406779661017</v>
      </c>
      <c r="M26" s="5">
        <f t="shared" ca="1" si="36"/>
        <v>126.98412698412697</v>
      </c>
      <c r="N26" s="5">
        <f t="shared" ca="1" si="36"/>
        <v>117.97752808988764</v>
      </c>
      <c r="O26" s="5">
        <f t="shared" ca="1" si="36"/>
        <v>117.97752808988764</v>
      </c>
      <c r="P26" s="5">
        <f t="shared" ca="1" si="36"/>
        <v>117.97752808988764</v>
      </c>
      <c r="Q26" s="5">
        <f t="shared" ca="1" si="36"/>
        <v>117.97752808988764</v>
      </c>
      <c r="R26" s="5">
        <f t="shared" ca="1" si="36"/>
        <v>117.97752808988764</v>
      </c>
      <c r="S26" s="5">
        <f t="shared" ca="1" si="36"/>
        <v>127.77777777777777</v>
      </c>
      <c r="T26" s="5">
        <f t="shared" ca="1" si="36"/>
        <v>117.97752808988764</v>
      </c>
      <c r="U26" s="5">
        <f t="shared" ca="1" si="36"/>
        <v>117.97752808988764</v>
      </c>
      <c r="V26" s="5">
        <f t="shared" ca="1" si="36"/>
        <v>117.97752808988764</v>
      </c>
      <c r="W26" s="5">
        <f t="shared" ca="1" si="36"/>
        <v>117.97752808988764</v>
      </c>
      <c r="X26" s="5">
        <f t="shared" ca="1" si="36"/>
        <v>117.97752808988764</v>
      </c>
      <c r="Y26" s="5">
        <f t="shared" ca="1" si="36"/>
        <v>127.77777777777777</v>
      </c>
    </row>
    <row r="27" spans="1:25" ht="30" x14ac:dyDescent="0.25">
      <c r="A27" s="21" t="s">
        <v>24</v>
      </c>
      <c r="B27" s="21" t="s">
        <v>26</v>
      </c>
      <c r="C27" s="10" t="s">
        <v>123</v>
      </c>
      <c r="D27" s="8">
        <f ca="1">RANDBETWEEN(D28*0.1,D28*0.2)</f>
        <v>173</v>
      </c>
      <c r="E27" s="8">
        <f ca="1">FLOOR($D27/9,1)</f>
        <v>19</v>
      </c>
      <c r="F27" s="8">
        <f t="shared" ref="F27:L27" ca="1" si="37">FLOOR($D27/9,1)</f>
        <v>19</v>
      </c>
      <c r="G27" s="8">
        <f t="shared" ca="1" si="37"/>
        <v>19</v>
      </c>
      <c r="H27" s="8">
        <f t="shared" ca="1" si="37"/>
        <v>19</v>
      </c>
      <c r="I27" s="8">
        <f t="shared" ca="1" si="37"/>
        <v>19</v>
      </c>
      <c r="J27" s="8">
        <f t="shared" ca="1" si="37"/>
        <v>19</v>
      </c>
      <c r="K27" s="8">
        <f t="shared" ca="1" si="37"/>
        <v>19</v>
      </c>
      <c r="L27" s="8">
        <f t="shared" ca="1" si="37"/>
        <v>19</v>
      </c>
      <c r="M27" s="8">
        <f ca="1">$D27-SUM(E27:L27)</f>
        <v>21</v>
      </c>
      <c r="N27" s="8">
        <f t="shared" ref="N27:R27" ca="1" si="38">FLOOR($D27/6,1)</f>
        <v>28</v>
      </c>
      <c r="O27" s="8">
        <f t="shared" ca="1" si="38"/>
        <v>28</v>
      </c>
      <c r="P27" s="8">
        <f t="shared" ca="1" si="38"/>
        <v>28</v>
      </c>
      <c r="Q27" s="8">
        <f t="shared" ca="1" si="38"/>
        <v>28</v>
      </c>
      <c r="R27" s="8">
        <f t="shared" ca="1" si="38"/>
        <v>28</v>
      </c>
      <c r="S27" s="8">
        <f ca="1">$D27-SUM(N27:R27)</f>
        <v>33</v>
      </c>
      <c r="T27" s="8">
        <f t="shared" ref="T27:X27" ca="1" si="39">FLOOR($D27/6, 1)</f>
        <v>28</v>
      </c>
      <c r="U27" s="8">
        <f t="shared" ca="1" si="39"/>
        <v>28</v>
      </c>
      <c r="V27" s="8">
        <f t="shared" ca="1" si="39"/>
        <v>28</v>
      </c>
      <c r="W27" s="8">
        <f t="shared" ca="1" si="39"/>
        <v>28</v>
      </c>
      <c r="X27" s="8">
        <f t="shared" ca="1" si="39"/>
        <v>28</v>
      </c>
      <c r="Y27" s="8">
        <f ca="1">$D27-SUM(T27:X27)</f>
        <v>33</v>
      </c>
    </row>
    <row r="28" spans="1:25" x14ac:dyDescent="0.25">
      <c r="A28" s="21"/>
      <c r="B28" s="21"/>
      <c r="C28" s="10" t="s">
        <v>25</v>
      </c>
      <c r="D28" s="3">
        <f t="shared" ref="D28:Y28" ca="1" si="40">D19</f>
        <v>1070</v>
      </c>
      <c r="E28" s="3">
        <f t="shared" ca="1" si="40"/>
        <v>118</v>
      </c>
      <c r="F28" s="3">
        <f t="shared" ca="1" si="40"/>
        <v>118</v>
      </c>
      <c r="G28" s="3">
        <f t="shared" ca="1" si="40"/>
        <v>118</v>
      </c>
      <c r="H28" s="3">
        <f t="shared" ca="1" si="40"/>
        <v>118</v>
      </c>
      <c r="I28" s="3">
        <f t="shared" ca="1" si="40"/>
        <v>118</v>
      </c>
      <c r="J28" s="3">
        <f t="shared" ca="1" si="40"/>
        <v>118</v>
      </c>
      <c r="K28" s="3">
        <f t="shared" ca="1" si="40"/>
        <v>118</v>
      </c>
      <c r="L28" s="3">
        <f t="shared" ca="1" si="40"/>
        <v>118</v>
      </c>
      <c r="M28" s="3">
        <f t="shared" ca="1" si="40"/>
        <v>126</v>
      </c>
      <c r="N28" s="3">
        <f t="shared" ca="1" si="40"/>
        <v>178</v>
      </c>
      <c r="O28" s="3">
        <f t="shared" ca="1" si="40"/>
        <v>178</v>
      </c>
      <c r="P28" s="3">
        <f t="shared" ca="1" si="40"/>
        <v>178</v>
      </c>
      <c r="Q28" s="3">
        <f t="shared" ca="1" si="40"/>
        <v>178</v>
      </c>
      <c r="R28" s="3">
        <f t="shared" ca="1" si="40"/>
        <v>178</v>
      </c>
      <c r="S28" s="3">
        <f t="shared" ca="1" si="40"/>
        <v>180</v>
      </c>
      <c r="T28" s="3">
        <f t="shared" ca="1" si="40"/>
        <v>178</v>
      </c>
      <c r="U28" s="3">
        <f t="shared" ca="1" si="40"/>
        <v>178</v>
      </c>
      <c r="V28" s="3">
        <f t="shared" ca="1" si="40"/>
        <v>178</v>
      </c>
      <c r="W28" s="3">
        <f t="shared" ca="1" si="40"/>
        <v>178</v>
      </c>
      <c r="X28" s="3">
        <f t="shared" ca="1" si="40"/>
        <v>178</v>
      </c>
      <c r="Y28" s="3">
        <f t="shared" ca="1" si="40"/>
        <v>180</v>
      </c>
    </row>
    <row r="29" spans="1:25" ht="30" x14ac:dyDescent="0.25">
      <c r="A29" s="21"/>
      <c r="B29" s="21"/>
      <c r="C29" s="17" t="s">
        <v>124</v>
      </c>
      <c r="D29" s="5">
        <f t="shared" ref="D29:Y29" ca="1" si="41">IFERROR(D27/D28*1000,0)</f>
        <v>161.6822429906542</v>
      </c>
      <c r="E29" s="5">
        <f t="shared" ca="1" si="41"/>
        <v>161.01694915254237</v>
      </c>
      <c r="F29" s="5">
        <f t="shared" ca="1" si="41"/>
        <v>161.01694915254237</v>
      </c>
      <c r="G29" s="5">
        <f t="shared" ca="1" si="41"/>
        <v>161.01694915254237</v>
      </c>
      <c r="H29" s="5">
        <f t="shared" ca="1" si="41"/>
        <v>161.01694915254237</v>
      </c>
      <c r="I29" s="5">
        <f t="shared" ca="1" si="41"/>
        <v>161.01694915254237</v>
      </c>
      <c r="J29" s="5">
        <f t="shared" ca="1" si="41"/>
        <v>161.01694915254237</v>
      </c>
      <c r="K29" s="5">
        <f t="shared" ca="1" si="41"/>
        <v>161.01694915254237</v>
      </c>
      <c r="L29" s="5">
        <f t="shared" ca="1" si="41"/>
        <v>161.01694915254237</v>
      </c>
      <c r="M29" s="5">
        <f t="shared" ca="1" si="41"/>
        <v>166.66666666666666</v>
      </c>
      <c r="N29" s="5">
        <f t="shared" ca="1" si="41"/>
        <v>157.30337078651684</v>
      </c>
      <c r="O29" s="5">
        <f t="shared" ca="1" si="41"/>
        <v>157.30337078651684</v>
      </c>
      <c r="P29" s="5">
        <f t="shared" ca="1" si="41"/>
        <v>157.30337078651684</v>
      </c>
      <c r="Q29" s="5">
        <f t="shared" ca="1" si="41"/>
        <v>157.30337078651684</v>
      </c>
      <c r="R29" s="5">
        <f t="shared" ca="1" si="41"/>
        <v>157.30337078651684</v>
      </c>
      <c r="S29" s="5">
        <f t="shared" ca="1" si="41"/>
        <v>183.33333333333331</v>
      </c>
      <c r="T29" s="5">
        <f t="shared" ca="1" si="41"/>
        <v>157.30337078651684</v>
      </c>
      <c r="U29" s="5">
        <f t="shared" ca="1" si="41"/>
        <v>157.30337078651684</v>
      </c>
      <c r="V29" s="5">
        <f t="shared" ca="1" si="41"/>
        <v>157.30337078651684</v>
      </c>
      <c r="W29" s="5">
        <f t="shared" ca="1" si="41"/>
        <v>157.30337078651684</v>
      </c>
      <c r="X29" s="5">
        <f t="shared" ca="1" si="41"/>
        <v>157.30337078651684</v>
      </c>
      <c r="Y29" s="5">
        <f t="shared" ca="1" si="41"/>
        <v>183.33333333333331</v>
      </c>
    </row>
    <row r="30" spans="1:25" ht="30" x14ac:dyDescent="0.25">
      <c r="A30" s="21" t="s">
        <v>24</v>
      </c>
      <c r="B30" s="21" t="s">
        <v>26</v>
      </c>
      <c r="C30" s="10" t="s">
        <v>125</v>
      </c>
      <c r="D30" s="8">
        <f ca="1">RANDBETWEEN(D31*0.1,D31*0.2)</f>
        <v>133</v>
      </c>
      <c r="E30" s="8">
        <f ca="1">FLOOR($D30/9,1)</f>
        <v>14</v>
      </c>
      <c r="F30" s="8">
        <f t="shared" ref="F30:L30" ca="1" si="42">FLOOR($D30/9,1)</f>
        <v>14</v>
      </c>
      <c r="G30" s="8">
        <f t="shared" ca="1" si="42"/>
        <v>14</v>
      </c>
      <c r="H30" s="8">
        <f t="shared" ca="1" si="42"/>
        <v>14</v>
      </c>
      <c r="I30" s="8">
        <f t="shared" ca="1" si="42"/>
        <v>14</v>
      </c>
      <c r="J30" s="8">
        <f t="shared" ca="1" si="42"/>
        <v>14</v>
      </c>
      <c r="K30" s="8">
        <f t="shared" ca="1" si="42"/>
        <v>14</v>
      </c>
      <c r="L30" s="8">
        <f t="shared" ca="1" si="42"/>
        <v>14</v>
      </c>
      <c r="M30" s="8">
        <f ca="1">$D30-SUM(E30:L30)</f>
        <v>21</v>
      </c>
      <c r="N30" s="8">
        <f t="shared" ref="N30:R30" ca="1" si="43">FLOOR($D30/6,1)</f>
        <v>22</v>
      </c>
      <c r="O30" s="8">
        <f t="shared" ca="1" si="43"/>
        <v>22</v>
      </c>
      <c r="P30" s="8">
        <f t="shared" ca="1" si="43"/>
        <v>22</v>
      </c>
      <c r="Q30" s="8">
        <f t="shared" ca="1" si="43"/>
        <v>22</v>
      </c>
      <c r="R30" s="8">
        <f t="shared" ca="1" si="43"/>
        <v>22</v>
      </c>
      <c r="S30" s="8">
        <f ca="1">$D30-SUM(N30:R30)</f>
        <v>23</v>
      </c>
      <c r="T30" s="8">
        <f t="shared" ref="T30:X30" ca="1" si="44">FLOOR($D30/6, 1)</f>
        <v>22</v>
      </c>
      <c r="U30" s="8">
        <f t="shared" ca="1" si="44"/>
        <v>22</v>
      </c>
      <c r="V30" s="8">
        <f t="shared" ca="1" si="44"/>
        <v>22</v>
      </c>
      <c r="W30" s="8">
        <f t="shared" ca="1" si="44"/>
        <v>22</v>
      </c>
      <c r="X30" s="8">
        <f t="shared" ca="1" si="44"/>
        <v>22</v>
      </c>
      <c r="Y30" s="8">
        <f ca="1">$D30-SUM(T30:X30)</f>
        <v>23</v>
      </c>
    </row>
    <row r="31" spans="1:25" x14ac:dyDescent="0.25">
      <c r="A31" s="21"/>
      <c r="B31" s="21"/>
      <c r="C31" s="10" t="s">
        <v>25</v>
      </c>
      <c r="D31" s="3">
        <f t="shared" ref="D31:Y31" ca="1" si="45">D22</f>
        <v>1070</v>
      </c>
      <c r="E31" s="3">
        <f t="shared" ca="1" si="45"/>
        <v>118</v>
      </c>
      <c r="F31" s="3">
        <f t="shared" ca="1" si="45"/>
        <v>118</v>
      </c>
      <c r="G31" s="3">
        <f t="shared" ca="1" si="45"/>
        <v>118</v>
      </c>
      <c r="H31" s="3">
        <f t="shared" ca="1" si="45"/>
        <v>118</v>
      </c>
      <c r="I31" s="3">
        <f t="shared" ca="1" si="45"/>
        <v>118</v>
      </c>
      <c r="J31" s="3">
        <f t="shared" ca="1" si="45"/>
        <v>118</v>
      </c>
      <c r="K31" s="3">
        <f t="shared" ca="1" si="45"/>
        <v>118</v>
      </c>
      <c r="L31" s="3">
        <f t="shared" ca="1" si="45"/>
        <v>118</v>
      </c>
      <c r="M31" s="3">
        <f t="shared" ca="1" si="45"/>
        <v>126</v>
      </c>
      <c r="N31" s="3">
        <f t="shared" ca="1" si="45"/>
        <v>178</v>
      </c>
      <c r="O31" s="3">
        <f t="shared" ca="1" si="45"/>
        <v>178</v>
      </c>
      <c r="P31" s="3">
        <f t="shared" ca="1" si="45"/>
        <v>178</v>
      </c>
      <c r="Q31" s="3">
        <f t="shared" ca="1" si="45"/>
        <v>178</v>
      </c>
      <c r="R31" s="3">
        <f t="shared" ca="1" si="45"/>
        <v>178</v>
      </c>
      <c r="S31" s="3">
        <f t="shared" ca="1" si="45"/>
        <v>180</v>
      </c>
      <c r="T31" s="3">
        <f t="shared" ca="1" si="45"/>
        <v>178</v>
      </c>
      <c r="U31" s="3">
        <f t="shared" ca="1" si="45"/>
        <v>178</v>
      </c>
      <c r="V31" s="3">
        <f t="shared" ca="1" si="45"/>
        <v>178</v>
      </c>
      <c r="W31" s="3">
        <f t="shared" ca="1" si="45"/>
        <v>178</v>
      </c>
      <c r="X31" s="3">
        <f t="shared" ca="1" si="45"/>
        <v>178</v>
      </c>
      <c r="Y31" s="3">
        <f t="shared" ca="1" si="45"/>
        <v>180</v>
      </c>
    </row>
    <row r="32" spans="1:25" ht="30" x14ac:dyDescent="0.25">
      <c r="A32" s="21"/>
      <c r="B32" s="21"/>
      <c r="C32" s="17" t="s">
        <v>126</v>
      </c>
      <c r="D32" s="5">
        <f t="shared" ref="D32:Y32" ca="1" si="46">IFERROR(D30/D31*1000,0)</f>
        <v>124.29906542056075</v>
      </c>
      <c r="E32" s="5">
        <f t="shared" ca="1" si="46"/>
        <v>118.64406779661017</v>
      </c>
      <c r="F32" s="5">
        <f t="shared" ca="1" si="46"/>
        <v>118.64406779661017</v>
      </c>
      <c r="G32" s="5">
        <f t="shared" ca="1" si="46"/>
        <v>118.64406779661017</v>
      </c>
      <c r="H32" s="5">
        <f t="shared" ca="1" si="46"/>
        <v>118.64406779661017</v>
      </c>
      <c r="I32" s="5">
        <f t="shared" ca="1" si="46"/>
        <v>118.64406779661017</v>
      </c>
      <c r="J32" s="5">
        <f t="shared" ca="1" si="46"/>
        <v>118.64406779661017</v>
      </c>
      <c r="K32" s="5">
        <f t="shared" ca="1" si="46"/>
        <v>118.64406779661017</v>
      </c>
      <c r="L32" s="5">
        <f t="shared" ca="1" si="46"/>
        <v>118.64406779661017</v>
      </c>
      <c r="M32" s="5">
        <f t="shared" ca="1" si="46"/>
        <v>166.66666666666666</v>
      </c>
      <c r="N32" s="5">
        <f t="shared" ca="1" si="46"/>
        <v>123.59550561797752</v>
      </c>
      <c r="O32" s="5">
        <f t="shared" ca="1" si="46"/>
        <v>123.59550561797752</v>
      </c>
      <c r="P32" s="5">
        <f t="shared" ca="1" si="46"/>
        <v>123.59550561797752</v>
      </c>
      <c r="Q32" s="5">
        <f t="shared" ca="1" si="46"/>
        <v>123.59550561797752</v>
      </c>
      <c r="R32" s="5">
        <f t="shared" ca="1" si="46"/>
        <v>123.59550561797752</v>
      </c>
      <c r="S32" s="5">
        <f t="shared" ca="1" si="46"/>
        <v>127.77777777777777</v>
      </c>
      <c r="T32" s="5">
        <f t="shared" ca="1" si="46"/>
        <v>123.59550561797752</v>
      </c>
      <c r="U32" s="5">
        <f t="shared" ca="1" si="46"/>
        <v>123.59550561797752</v>
      </c>
      <c r="V32" s="5">
        <f t="shared" ca="1" si="46"/>
        <v>123.59550561797752</v>
      </c>
      <c r="W32" s="5">
        <f t="shared" ca="1" si="46"/>
        <v>123.59550561797752</v>
      </c>
      <c r="X32" s="5">
        <f t="shared" ca="1" si="46"/>
        <v>123.59550561797752</v>
      </c>
      <c r="Y32" s="5">
        <f t="shared" ca="1" si="46"/>
        <v>127.77777777777777</v>
      </c>
    </row>
    <row r="33" spans="1:25" ht="30" x14ac:dyDescent="0.25">
      <c r="A33" s="21" t="s">
        <v>24</v>
      </c>
      <c r="B33" s="21" t="s">
        <v>26</v>
      </c>
      <c r="C33" s="10" t="s">
        <v>127</v>
      </c>
      <c r="D33" s="8">
        <f ca="1">RANDBETWEEN(D34*0.1,D34*0.2)</f>
        <v>188</v>
      </c>
      <c r="E33" s="8">
        <f ca="1">FLOOR($D33/9,1)</f>
        <v>20</v>
      </c>
      <c r="F33" s="8">
        <f t="shared" ref="F33:L33" ca="1" si="47">FLOOR($D33/9,1)</f>
        <v>20</v>
      </c>
      <c r="G33" s="8">
        <f t="shared" ca="1" si="47"/>
        <v>20</v>
      </c>
      <c r="H33" s="8">
        <f t="shared" ca="1" si="47"/>
        <v>20</v>
      </c>
      <c r="I33" s="8">
        <f t="shared" ca="1" si="47"/>
        <v>20</v>
      </c>
      <c r="J33" s="8">
        <f t="shared" ca="1" si="47"/>
        <v>20</v>
      </c>
      <c r="K33" s="8">
        <f t="shared" ca="1" si="47"/>
        <v>20</v>
      </c>
      <c r="L33" s="8">
        <f t="shared" ca="1" si="47"/>
        <v>20</v>
      </c>
      <c r="M33" s="8">
        <f ca="1">$D33-SUM(E33:L33)</f>
        <v>28</v>
      </c>
      <c r="N33" s="8">
        <f t="shared" ref="N33:R33" ca="1" si="48">FLOOR($D33/6,1)</f>
        <v>31</v>
      </c>
      <c r="O33" s="8">
        <f t="shared" ca="1" si="48"/>
        <v>31</v>
      </c>
      <c r="P33" s="8">
        <f t="shared" ca="1" si="48"/>
        <v>31</v>
      </c>
      <c r="Q33" s="8">
        <f t="shared" ca="1" si="48"/>
        <v>31</v>
      </c>
      <c r="R33" s="8">
        <f t="shared" ca="1" si="48"/>
        <v>31</v>
      </c>
      <c r="S33" s="8">
        <f ca="1">$D33-SUM(N33:R33)</f>
        <v>33</v>
      </c>
      <c r="T33" s="8">
        <f t="shared" ref="T33:X33" ca="1" si="49">FLOOR($D33/6, 1)</f>
        <v>31</v>
      </c>
      <c r="U33" s="8">
        <f t="shared" ca="1" si="49"/>
        <v>31</v>
      </c>
      <c r="V33" s="8">
        <f t="shared" ca="1" si="49"/>
        <v>31</v>
      </c>
      <c r="W33" s="8">
        <f t="shared" ca="1" si="49"/>
        <v>31</v>
      </c>
      <c r="X33" s="8">
        <f t="shared" ca="1" si="49"/>
        <v>31</v>
      </c>
      <c r="Y33" s="8">
        <f ca="1">$D33-SUM(T33:X33)</f>
        <v>33</v>
      </c>
    </row>
    <row r="34" spans="1:25" x14ac:dyDescent="0.25">
      <c r="A34" s="21"/>
      <c r="B34" s="21"/>
      <c r="C34" s="10" t="s">
        <v>25</v>
      </c>
      <c r="D34" s="3">
        <f t="shared" ref="D34:Y34" ca="1" si="50">D25</f>
        <v>1070</v>
      </c>
      <c r="E34" s="3">
        <f t="shared" ca="1" si="50"/>
        <v>118</v>
      </c>
      <c r="F34" s="3">
        <f t="shared" ca="1" si="50"/>
        <v>118</v>
      </c>
      <c r="G34" s="3">
        <f t="shared" ca="1" si="50"/>
        <v>118</v>
      </c>
      <c r="H34" s="3">
        <f t="shared" ca="1" si="50"/>
        <v>118</v>
      </c>
      <c r="I34" s="3">
        <f t="shared" ca="1" si="50"/>
        <v>118</v>
      </c>
      <c r="J34" s="3">
        <f t="shared" ca="1" si="50"/>
        <v>118</v>
      </c>
      <c r="K34" s="3">
        <f t="shared" ca="1" si="50"/>
        <v>118</v>
      </c>
      <c r="L34" s="3">
        <f t="shared" ca="1" si="50"/>
        <v>118</v>
      </c>
      <c r="M34" s="3">
        <f t="shared" ca="1" si="50"/>
        <v>126</v>
      </c>
      <c r="N34" s="3">
        <f t="shared" ca="1" si="50"/>
        <v>178</v>
      </c>
      <c r="O34" s="3">
        <f t="shared" ca="1" si="50"/>
        <v>178</v>
      </c>
      <c r="P34" s="3">
        <f t="shared" ca="1" si="50"/>
        <v>178</v>
      </c>
      <c r="Q34" s="3">
        <f t="shared" ca="1" si="50"/>
        <v>178</v>
      </c>
      <c r="R34" s="3">
        <f t="shared" ca="1" si="50"/>
        <v>178</v>
      </c>
      <c r="S34" s="3">
        <f t="shared" ca="1" si="50"/>
        <v>180</v>
      </c>
      <c r="T34" s="3">
        <f t="shared" ca="1" si="50"/>
        <v>178</v>
      </c>
      <c r="U34" s="3">
        <f t="shared" ca="1" si="50"/>
        <v>178</v>
      </c>
      <c r="V34" s="3">
        <f t="shared" ca="1" si="50"/>
        <v>178</v>
      </c>
      <c r="W34" s="3">
        <f t="shared" ca="1" si="50"/>
        <v>178</v>
      </c>
      <c r="X34" s="3">
        <f t="shared" ca="1" si="50"/>
        <v>178</v>
      </c>
      <c r="Y34" s="3">
        <f t="shared" ca="1" si="50"/>
        <v>180</v>
      </c>
    </row>
    <row r="35" spans="1:25" ht="30" x14ac:dyDescent="0.25">
      <c r="A35" s="21"/>
      <c r="B35" s="21"/>
      <c r="C35" s="17" t="s">
        <v>128</v>
      </c>
      <c r="D35" s="5">
        <f t="shared" ref="D35:Y35" ca="1" si="51">IFERROR(D33/D34*1000,0)</f>
        <v>175.70093457943926</v>
      </c>
      <c r="E35" s="5">
        <f t="shared" ca="1" si="51"/>
        <v>169.4915254237288</v>
      </c>
      <c r="F35" s="5">
        <f t="shared" ca="1" si="51"/>
        <v>169.4915254237288</v>
      </c>
      <c r="G35" s="5">
        <f t="shared" ca="1" si="51"/>
        <v>169.4915254237288</v>
      </c>
      <c r="H35" s="5">
        <f t="shared" ca="1" si="51"/>
        <v>169.4915254237288</v>
      </c>
      <c r="I35" s="5">
        <f t="shared" ca="1" si="51"/>
        <v>169.4915254237288</v>
      </c>
      <c r="J35" s="5">
        <f t="shared" ca="1" si="51"/>
        <v>169.4915254237288</v>
      </c>
      <c r="K35" s="5">
        <f t="shared" ca="1" si="51"/>
        <v>169.4915254237288</v>
      </c>
      <c r="L35" s="5">
        <f t="shared" ca="1" si="51"/>
        <v>169.4915254237288</v>
      </c>
      <c r="M35" s="5">
        <f t="shared" ca="1" si="51"/>
        <v>222.2222222222222</v>
      </c>
      <c r="N35" s="5">
        <f t="shared" ca="1" si="51"/>
        <v>174.15730337078654</v>
      </c>
      <c r="O35" s="5">
        <f t="shared" ca="1" si="51"/>
        <v>174.15730337078654</v>
      </c>
      <c r="P35" s="5">
        <f t="shared" ca="1" si="51"/>
        <v>174.15730337078654</v>
      </c>
      <c r="Q35" s="5">
        <f t="shared" ca="1" si="51"/>
        <v>174.15730337078654</v>
      </c>
      <c r="R35" s="5">
        <f t="shared" ca="1" si="51"/>
        <v>174.15730337078654</v>
      </c>
      <c r="S35" s="5">
        <f t="shared" ca="1" si="51"/>
        <v>183.33333333333331</v>
      </c>
      <c r="T35" s="5">
        <f t="shared" ca="1" si="51"/>
        <v>174.15730337078654</v>
      </c>
      <c r="U35" s="5">
        <f t="shared" ca="1" si="51"/>
        <v>174.15730337078654</v>
      </c>
      <c r="V35" s="5">
        <f t="shared" ca="1" si="51"/>
        <v>174.15730337078654</v>
      </c>
      <c r="W35" s="5">
        <f t="shared" ca="1" si="51"/>
        <v>174.15730337078654</v>
      </c>
      <c r="X35" s="5">
        <f t="shared" ca="1" si="51"/>
        <v>174.15730337078654</v>
      </c>
      <c r="Y35" s="5">
        <f t="shared" ca="1" si="51"/>
        <v>183.33333333333331</v>
      </c>
    </row>
    <row r="36" spans="1:25" ht="30" x14ac:dyDescent="0.25">
      <c r="A36" s="21" t="s">
        <v>35</v>
      </c>
      <c r="B36" s="21" t="s">
        <v>26</v>
      </c>
      <c r="C36" s="10" t="s">
        <v>107</v>
      </c>
      <c r="D36" s="8">
        <f ca="1">RANDBETWEEN(D37*0.1,D37*0.2)</f>
        <v>180</v>
      </c>
      <c r="E36" s="8">
        <f ca="1">FLOOR($D36/9,1)</f>
        <v>20</v>
      </c>
      <c r="F36" s="8">
        <f t="shared" ref="F36:L36" ca="1" si="52">FLOOR($D36/9,1)</f>
        <v>20</v>
      </c>
      <c r="G36" s="8">
        <f t="shared" ca="1" si="52"/>
        <v>20</v>
      </c>
      <c r="H36" s="8">
        <f t="shared" ca="1" si="52"/>
        <v>20</v>
      </c>
      <c r="I36" s="8">
        <f t="shared" ca="1" si="52"/>
        <v>20</v>
      </c>
      <c r="J36" s="8">
        <f t="shared" ca="1" si="52"/>
        <v>20</v>
      </c>
      <c r="K36" s="8">
        <f t="shared" ca="1" si="52"/>
        <v>20</v>
      </c>
      <c r="L36" s="8">
        <f t="shared" ca="1" si="52"/>
        <v>20</v>
      </c>
      <c r="M36" s="8">
        <f ca="1">$D36-SUM(E36:L36)</f>
        <v>20</v>
      </c>
      <c r="N36" s="8">
        <f t="shared" ref="N36:R36" ca="1" si="53">FLOOR($D36/6,1)</f>
        <v>30</v>
      </c>
      <c r="O36" s="8">
        <f t="shared" ca="1" si="53"/>
        <v>30</v>
      </c>
      <c r="P36" s="8">
        <f t="shared" ca="1" si="53"/>
        <v>30</v>
      </c>
      <c r="Q36" s="8">
        <f t="shared" ca="1" si="53"/>
        <v>30</v>
      </c>
      <c r="R36" s="8">
        <f t="shared" ca="1" si="53"/>
        <v>30</v>
      </c>
      <c r="S36" s="8">
        <f ca="1">$D36-SUM(N36:R36)</f>
        <v>30</v>
      </c>
      <c r="T36" s="8">
        <f t="shared" ref="T36:X36" ca="1" si="54">FLOOR($D36/6, 1)</f>
        <v>30</v>
      </c>
      <c r="U36" s="8">
        <f t="shared" ca="1" si="54"/>
        <v>30</v>
      </c>
      <c r="V36" s="8">
        <f t="shared" ca="1" si="54"/>
        <v>30</v>
      </c>
      <c r="W36" s="8">
        <f t="shared" ca="1" si="54"/>
        <v>30</v>
      </c>
      <c r="X36" s="8">
        <f t="shared" ca="1" si="54"/>
        <v>30</v>
      </c>
      <c r="Y36" s="8">
        <f ca="1">$D36-SUM(T36:X36)</f>
        <v>30</v>
      </c>
    </row>
    <row r="37" spans="1:25" x14ac:dyDescent="0.25">
      <c r="A37" s="21"/>
      <c r="B37" s="21"/>
      <c r="C37" s="10" t="s">
        <v>25</v>
      </c>
      <c r="D37" s="3">
        <f ca="1">D22</f>
        <v>1070</v>
      </c>
      <c r="E37" s="3">
        <f t="shared" ref="E37:Y37" ca="1" si="55">E22</f>
        <v>118</v>
      </c>
      <c r="F37" s="3">
        <f t="shared" ca="1" si="55"/>
        <v>118</v>
      </c>
      <c r="G37" s="3">
        <f t="shared" ca="1" si="55"/>
        <v>118</v>
      </c>
      <c r="H37" s="3">
        <f t="shared" ca="1" si="55"/>
        <v>118</v>
      </c>
      <c r="I37" s="3">
        <f t="shared" ca="1" si="55"/>
        <v>118</v>
      </c>
      <c r="J37" s="3">
        <f t="shared" ca="1" si="55"/>
        <v>118</v>
      </c>
      <c r="K37" s="3">
        <f t="shared" ca="1" si="55"/>
        <v>118</v>
      </c>
      <c r="L37" s="3">
        <f t="shared" ca="1" si="55"/>
        <v>118</v>
      </c>
      <c r="M37" s="3">
        <f t="shared" ca="1" si="55"/>
        <v>126</v>
      </c>
      <c r="N37" s="3">
        <f t="shared" ca="1" si="55"/>
        <v>178</v>
      </c>
      <c r="O37" s="3">
        <f t="shared" ca="1" si="55"/>
        <v>178</v>
      </c>
      <c r="P37" s="3">
        <f t="shared" ca="1" si="55"/>
        <v>178</v>
      </c>
      <c r="Q37" s="3">
        <f t="shared" ca="1" si="55"/>
        <v>178</v>
      </c>
      <c r="R37" s="3">
        <f t="shared" ca="1" si="55"/>
        <v>178</v>
      </c>
      <c r="S37" s="3">
        <f t="shared" ca="1" si="55"/>
        <v>180</v>
      </c>
      <c r="T37" s="3">
        <f t="shared" ca="1" si="55"/>
        <v>178</v>
      </c>
      <c r="U37" s="3">
        <f t="shared" ca="1" si="55"/>
        <v>178</v>
      </c>
      <c r="V37" s="3">
        <f t="shared" ca="1" si="55"/>
        <v>178</v>
      </c>
      <c r="W37" s="3">
        <f t="shared" ca="1" si="55"/>
        <v>178</v>
      </c>
      <c r="X37" s="3">
        <f t="shared" ca="1" si="55"/>
        <v>178</v>
      </c>
      <c r="Y37" s="3">
        <f t="shared" ca="1" si="55"/>
        <v>180</v>
      </c>
    </row>
    <row r="38" spans="1:25" ht="30" x14ac:dyDescent="0.25">
      <c r="A38" s="21"/>
      <c r="B38" s="21"/>
      <c r="C38" s="17" t="s">
        <v>106</v>
      </c>
      <c r="D38" s="5">
        <f t="shared" ref="D38:Y38" ca="1" si="56">IFERROR(D36/D37*1000,0)</f>
        <v>168.22429906542055</v>
      </c>
      <c r="E38" s="5">
        <f t="shared" ca="1" si="56"/>
        <v>169.4915254237288</v>
      </c>
      <c r="F38" s="5">
        <f t="shared" ca="1" si="56"/>
        <v>169.4915254237288</v>
      </c>
      <c r="G38" s="5">
        <f t="shared" ca="1" si="56"/>
        <v>169.4915254237288</v>
      </c>
      <c r="H38" s="5">
        <f t="shared" ca="1" si="56"/>
        <v>169.4915254237288</v>
      </c>
      <c r="I38" s="5">
        <f t="shared" ca="1" si="56"/>
        <v>169.4915254237288</v>
      </c>
      <c r="J38" s="5">
        <f t="shared" ca="1" si="56"/>
        <v>169.4915254237288</v>
      </c>
      <c r="K38" s="5">
        <f t="shared" ca="1" si="56"/>
        <v>169.4915254237288</v>
      </c>
      <c r="L38" s="5">
        <f t="shared" ca="1" si="56"/>
        <v>169.4915254237288</v>
      </c>
      <c r="M38" s="5">
        <f t="shared" ca="1" si="56"/>
        <v>158.73015873015873</v>
      </c>
      <c r="N38" s="5">
        <f t="shared" ca="1" si="56"/>
        <v>168.53932584269663</v>
      </c>
      <c r="O38" s="5">
        <f t="shared" ca="1" si="56"/>
        <v>168.53932584269663</v>
      </c>
      <c r="P38" s="5">
        <f t="shared" ca="1" si="56"/>
        <v>168.53932584269663</v>
      </c>
      <c r="Q38" s="5">
        <f t="shared" ca="1" si="56"/>
        <v>168.53932584269663</v>
      </c>
      <c r="R38" s="5">
        <f t="shared" ca="1" si="56"/>
        <v>168.53932584269663</v>
      </c>
      <c r="S38" s="5">
        <f t="shared" ca="1" si="56"/>
        <v>166.66666666666666</v>
      </c>
      <c r="T38" s="5">
        <f t="shared" ca="1" si="56"/>
        <v>168.53932584269663</v>
      </c>
      <c r="U38" s="5">
        <f t="shared" ca="1" si="56"/>
        <v>168.53932584269663</v>
      </c>
      <c r="V38" s="5">
        <f t="shared" ca="1" si="56"/>
        <v>168.53932584269663</v>
      </c>
      <c r="W38" s="5">
        <f t="shared" ca="1" si="56"/>
        <v>168.53932584269663</v>
      </c>
      <c r="X38" s="5">
        <f t="shared" ca="1" si="56"/>
        <v>168.53932584269663</v>
      </c>
      <c r="Y38" s="5">
        <f t="shared" ca="1" si="56"/>
        <v>166.66666666666666</v>
      </c>
    </row>
    <row r="39" spans="1:25" ht="30" x14ac:dyDescent="0.25">
      <c r="A39" s="21" t="s">
        <v>35</v>
      </c>
      <c r="B39" s="21" t="s">
        <v>26</v>
      </c>
      <c r="C39" s="10" t="s">
        <v>108</v>
      </c>
      <c r="D39" s="8">
        <f ca="1">RANDBETWEEN(D40*0.1,D40*0.2)</f>
        <v>129</v>
      </c>
      <c r="E39" s="8">
        <f ca="1">FLOOR($D39/9,1)</f>
        <v>14</v>
      </c>
      <c r="F39" s="8">
        <f t="shared" ref="F39:L39" ca="1" si="57">FLOOR($D39/9,1)</f>
        <v>14</v>
      </c>
      <c r="G39" s="8">
        <f t="shared" ca="1" si="57"/>
        <v>14</v>
      </c>
      <c r="H39" s="8">
        <f t="shared" ca="1" si="57"/>
        <v>14</v>
      </c>
      <c r="I39" s="8">
        <f t="shared" ca="1" si="57"/>
        <v>14</v>
      </c>
      <c r="J39" s="8">
        <f t="shared" ca="1" si="57"/>
        <v>14</v>
      </c>
      <c r="K39" s="8">
        <f t="shared" ca="1" si="57"/>
        <v>14</v>
      </c>
      <c r="L39" s="8">
        <f t="shared" ca="1" si="57"/>
        <v>14</v>
      </c>
      <c r="M39" s="8">
        <f ca="1">$D39-SUM(E39:L39)</f>
        <v>17</v>
      </c>
      <c r="N39" s="8">
        <f t="shared" ref="N39:R39" ca="1" si="58">FLOOR($D39/6,1)</f>
        <v>21</v>
      </c>
      <c r="O39" s="8">
        <f t="shared" ca="1" si="58"/>
        <v>21</v>
      </c>
      <c r="P39" s="8">
        <f t="shared" ca="1" si="58"/>
        <v>21</v>
      </c>
      <c r="Q39" s="8">
        <f t="shared" ca="1" si="58"/>
        <v>21</v>
      </c>
      <c r="R39" s="8">
        <f t="shared" ca="1" si="58"/>
        <v>21</v>
      </c>
      <c r="S39" s="8">
        <f ca="1">$D39-SUM(N39:R39)</f>
        <v>24</v>
      </c>
      <c r="T39" s="8">
        <f t="shared" ref="T39:X39" ca="1" si="59">FLOOR($D39/6, 1)</f>
        <v>21</v>
      </c>
      <c r="U39" s="8">
        <f t="shared" ca="1" si="59"/>
        <v>21</v>
      </c>
      <c r="V39" s="8">
        <f t="shared" ca="1" si="59"/>
        <v>21</v>
      </c>
      <c r="W39" s="8">
        <f t="shared" ca="1" si="59"/>
        <v>21</v>
      </c>
      <c r="X39" s="8">
        <f t="shared" ca="1" si="59"/>
        <v>21</v>
      </c>
      <c r="Y39" s="8">
        <f ca="1">$D39-SUM(T39:X39)</f>
        <v>24</v>
      </c>
    </row>
    <row r="40" spans="1:25" x14ac:dyDescent="0.25">
      <c r="A40" s="21"/>
      <c r="B40" s="21"/>
      <c r="C40" s="10" t="s">
        <v>25</v>
      </c>
      <c r="D40" s="3">
        <f ca="1">D25</f>
        <v>1070</v>
      </c>
      <c r="E40" s="3">
        <f t="shared" ref="E40:Y40" ca="1" si="60">E25</f>
        <v>118</v>
      </c>
      <c r="F40" s="3">
        <f t="shared" ca="1" si="60"/>
        <v>118</v>
      </c>
      <c r="G40" s="3">
        <f t="shared" ca="1" si="60"/>
        <v>118</v>
      </c>
      <c r="H40" s="3">
        <f t="shared" ca="1" si="60"/>
        <v>118</v>
      </c>
      <c r="I40" s="3">
        <f t="shared" ca="1" si="60"/>
        <v>118</v>
      </c>
      <c r="J40" s="3">
        <f t="shared" ca="1" si="60"/>
        <v>118</v>
      </c>
      <c r="K40" s="3">
        <f t="shared" ca="1" si="60"/>
        <v>118</v>
      </c>
      <c r="L40" s="3">
        <f t="shared" ca="1" si="60"/>
        <v>118</v>
      </c>
      <c r="M40" s="3">
        <f t="shared" ca="1" si="60"/>
        <v>126</v>
      </c>
      <c r="N40" s="3">
        <f t="shared" ca="1" si="60"/>
        <v>178</v>
      </c>
      <c r="O40" s="3">
        <f t="shared" ca="1" si="60"/>
        <v>178</v>
      </c>
      <c r="P40" s="3">
        <f t="shared" ca="1" si="60"/>
        <v>178</v>
      </c>
      <c r="Q40" s="3">
        <f t="shared" ca="1" si="60"/>
        <v>178</v>
      </c>
      <c r="R40" s="3">
        <f t="shared" ca="1" si="60"/>
        <v>178</v>
      </c>
      <c r="S40" s="3">
        <f t="shared" ca="1" si="60"/>
        <v>180</v>
      </c>
      <c r="T40" s="3">
        <f t="shared" ca="1" si="60"/>
        <v>178</v>
      </c>
      <c r="U40" s="3">
        <f t="shared" ca="1" si="60"/>
        <v>178</v>
      </c>
      <c r="V40" s="3">
        <f t="shared" ca="1" si="60"/>
        <v>178</v>
      </c>
      <c r="W40" s="3">
        <f t="shared" ca="1" si="60"/>
        <v>178</v>
      </c>
      <c r="X40" s="3">
        <f t="shared" ca="1" si="60"/>
        <v>178</v>
      </c>
      <c r="Y40" s="3">
        <f t="shared" ca="1" si="60"/>
        <v>180</v>
      </c>
    </row>
    <row r="41" spans="1:25" ht="30" x14ac:dyDescent="0.25">
      <c r="A41" s="21"/>
      <c r="B41" s="21"/>
      <c r="C41" s="17" t="s">
        <v>109</v>
      </c>
      <c r="D41" s="5">
        <f t="shared" ref="D41:Y41" ca="1" si="61">IFERROR(D39/D40*1000,0)</f>
        <v>120.56074766355141</v>
      </c>
      <c r="E41" s="5">
        <f t="shared" ca="1" si="61"/>
        <v>118.64406779661017</v>
      </c>
      <c r="F41" s="5">
        <f t="shared" ca="1" si="61"/>
        <v>118.64406779661017</v>
      </c>
      <c r="G41" s="5">
        <f t="shared" ca="1" si="61"/>
        <v>118.64406779661017</v>
      </c>
      <c r="H41" s="5">
        <f t="shared" ca="1" si="61"/>
        <v>118.64406779661017</v>
      </c>
      <c r="I41" s="5">
        <f t="shared" ca="1" si="61"/>
        <v>118.64406779661017</v>
      </c>
      <c r="J41" s="5">
        <f t="shared" ca="1" si="61"/>
        <v>118.64406779661017</v>
      </c>
      <c r="K41" s="5">
        <f t="shared" ca="1" si="61"/>
        <v>118.64406779661017</v>
      </c>
      <c r="L41" s="5">
        <f t="shared" ca="1" si="61"/>
        <v>118.64406779661017</v>
      </c>
      <c r="M41" s="5">
        <f t="shared" ca="1" si="61"/>
        <v>134.92063492063491</v>
      </c>
      <c r="N41" s="5">
        <f t="shared" ca="1" si="61"/>
        <v>117.97752808988764</v>
      </c>
      <c r="O41" s="5">
        <f t="shared" ca="1" si="61"/>
        <v>117.97752808988764</v>
      </c>
      <c r="P41" s="5">
        <f t="shared" ca="1" si="61"/>
        <v>117.97752808988764</v>
      </c>
      <c r="Q41" s="5">
        <f t="shared" ca="1" si="61"/>
        <v>117.97752808988764</v>
      </c>
      <c r="R41" s="5">
        <f t="shared" ca="1" si="61"/>
        <v>117.97752808988764</v>
      </c>
      <c r="S41" s="5">
        <f t="shared" ca="1" si="61"/>
        <v>133.33333333333334</v>
      </c>
      <c r="T41" s="5">
        <f t="shared" ca="1" si="61"/>
        <v>117.97752808988764</v>
      </c>
      <c r="U41" s="5">
        <f t="shared" ca="1" si="61"/>
        <v>117.97752808988764</v>
      </c>
      <c r="V41" s="5">
        <f t="shared" ca="1" si="61"/>
        <v>117.97752808988764</v>
      </c>
      <c r="W41" s="5">
        <f t="shared" ca="1" si="61"/>
        <v>117.97752808988764</v>
      </c>
      <c r="X41" s="5">
        <f t="shared" ca="1" si="61"/>
        <v>117.97752808988764</v>
      </c>
      <c r="Y41" s="5">
        <f t="shared" ca="1" si="61"/>
        <v>133.33333333333334</v>
      </c>
    </row>
    <row r="42" spans="1:25" ht="30" x14ac:dyDescent="0.25">
      <c r="A42" s="21" t="s">
        <v>36</v>
      </c>
      <c r="B42" s="21" t="s">
        <v>26</v>
      </c>
      <c r="C42" s="10" t="s">
        <v>103</v>
      </c>
      <c r="D42" s="8">
        <f ca="1">RANDBETWEEN(D43*0.1,D43*0.2)</f>
        <v>159</v>
      </c>
      <c r="E42" s="8">
        <f ca="1">FLOOR($D42/9,1)</f>
        <v>17</v>
      </c>
      <c r="F42" s="8">
        <f t="shared" ref="F42:L42" ca="1" si="62">FLOOR($D42/9,1)</f>
        <v>17</v>
      </c>
      <c r="G42" s="8">
        <f t="shared" ca="1" si="62"/>
        <v>17</v>
      </c>
      <c r="H42" s="8">
        <f t="shared" ca="1" si="62"/>
        <v>17</v>
      </c>
      <c r="I42" s="8">
        <f t="shared" ca="1" si="62"/>
        <v>17</v>
      </c>
      <c r="J42" s="8">
        <f t="shared" ca="1" si="62"/>
        <v>17</v>
      </c>
      <c r="K42" s="8">
        <f t="shared" ca="1" si="62"/>
        <v>17</v>
      </c>
      <c r="L42" s="8">
        <f t="shared" ca="1" si="62"/>
        <v>17</v>
      </c>
      <c r="M42" s="8">
        <f ca="1">$D42-SUM(E42:L42)</f>
        <v>23</v>
      </c>
      <c r="N42" s="8">
        <f t="shared" ref="N42:R42" ca="1" si="63">FLOOR($D42/6,1)</f>
        <v>26</v>
      </c>
      <c r="O42" s="8">
        <f t="shared" ca="1" si="63"/>
        <v>26</v>
      </c>
      <c r="P42" s="8">
        <f t="shared" ca="1" si="63"/>
        <v>26</v>
      </c>
      <c r="Q42" s="8">
        <f t="shared" ca="1" si="63"/>
        <v>26</v>
      </c>
      <c r="R42" s="8">
        <f t="shared" ca="1" si="63"/>
        <v>26</v>
      </c>
      <c r="S42" s="8">
        <f ca="1">$D42-SUM(N42:R42)</f>
        <v>29</v>
      </c>
      <c r="T42" s="8">
        <f t="shared" ref="T42:X42" ca="1" si="64">FLOOR($D42/6, 1)</f>
        <v>26</v>
      </c>
      <c r="U42" s="8">
        <f t="shared" ca="1" si="64"/>
        <v>26</v>
      </c>
      <c r="V42" s="8">
        <f t="shared" ca="1" si="64"/>
        <v>26</v>
      </c>
      <c r="W42" s="8">
        <f t="shared" ca="1" si="64"/>
        <v>26</v>
      </c>
      <c r="X42" s="8">
        <f t="shared" ca="1" si="64"/>
        <v>26</v>
      </c>
      <c r="Y42" s="8">
        <f ca="1">$D42-SUM(T42:X42)</f>
        <v>29</v>
      </c>
    </row>
    <row r="43" spans="1:25" x14ac:dyDescent="0.25">
      <c r="A43" s="21"/>
      <c r="B43" s="21"/>
      <c r="C43" s="10" t="s">
        <v>25</v>
      </c>
      <c r="D43" s="5">
        <f t="shared" ref="D43:Y43" ca="1" si="65">D7</f>
        <v>1070</v>
      </c>
      <c r="E43" s="5">
        <f t="shared" ca="1" si="65"/>
        <v>118</v>
      </c>
      <c r="F43" s="5">
        <f t="shared" ca="1" si="65"/>
        <v>118</v>
      </c>
      <c r="G43" s="5">
        <f t="shared" ca="1" si="65"/>
        <v>118</v>
      </c>
      <c r="H43" s="5">
        <f t="shared" ca="1" si="65"/>
        <v>118</v>
      </c>
      <c r="I43" s="5">
        <f t="shared" ca="1" si="65"/>
        <v>118</v>
      </c>
      <c r="J43" s="5">
        <f t="shared" ca="1" si="65"/>
        <v>118</v>
      </c>
      <c r="K43" s="5">
        <f t="shared" ca="1" si="65"/>
        <v>118</v>
      </c>
      <c r="L43" s="5">
        <f t="shared" ca="1" si="65"/>
        <v>118</v>
      </c>
      <c r="M43" s="5">
        <f t="shared" ca="1" si="65"/>
        <v>126</v>
      </c>
      <c r="N43" s="5">
        <f t="shared" ca="1" si="65"/>
        <v>178</v>
      </c>
      <c r="O43" s="5">
        <f t="shared" ca="1" si="65"/>
        <v>178</v>
      </c>
      <c r="P43" s="5">
        <f t="shared" ca="1" si="65"/>
        <v>178</v>
      </c>
      <c r="Q43" s="5">
        <f t="shared" ca="1" si="65"/>
        <v>178</v>
      </c>
      <c r="R43" s="5">
        <f t="shared" ca="1" si="65"/>
        <v>178</v>
      </c>
      <c r="S43" s="5">
        <f t="shared" ca="1" si="65"/>
        <v>180</v>
      </c>
      <c r="T43" s="5">
        <f t="shared" ca="1" si="65"/>
        <v>178</v>
      </c>
      <c r="U43" s="5">
        <f t="shared" ca="1" si="65"/>
        <v>178</v>
      </c>
      <c r="V43" s="5">
        <f t="shared" ca="1" si="65"/>
        <v>178</v>
      </c>
      <c r="W43" s="5">
        <f t="shared" ca="1" si="65"/>
        <v>178</v>
      </c>
      <c r="X43" s="5">
        <f t="shared" ca="1" si="65"/>
        <v>178</v>
      </c>
      <c r="Y43" s="5">
        <f t="shared" ca="1" si="65"/>
        <v>180</v>
      </c>
    </row>
    <row r="44" spans="1:25" ht="30" x14ac:dyDescent="0.25">
      <c r="A44" s="21"/>
      <c r="B44" s="21"/>
      <c r="C44" s="17" t="s">
        <v>103</v>
      </c>
      <c r="D44" s="5">
        <f t="shared" ref="D44:Y44" ca="1" si="66">IFERROR(D42/D43*1000,0)</f>
        <v>148.5981308411215</v>
      </c>
      <c r="E44" s="5">
        <f t="shared" ca="1" si="66"/>
        <v>144.06779661016949</v>
      </c>
      <c r="F44" s="5">
        <f t="shared" ca="1" si="66"/>
        <v>144.06779661016949</v>
      </c>
      <c r="G44" s="5">
        <f t="shared" ca="1" si="66"/>
        <v>144.06779661016949</v>
      </c>
      <c r="H44" s="5">
        <f t="shared" ca="1" si="66"/>
        <v>144.06779661016949</v>
      </c>
      <c r="I44" s="5">
        <f t="shared" ca="1" si="66"/>
        <v>144.06779661016949</v>
      </c>
      <c r="J44" s="5">
        <f t="shared" ca="1" si="66"/>
        <v>144.06779661016949</v>
      </c>
      <c r="K44" s="5">
        <f t="shared" ca="1" si="66"/>
        <v>144.06779661016949</v>
      </c>
      <c r="L44" s="5">
        <f t="shared" ca="1" si="66"/>
        <v>144.06779661016949</v>
      </c>
      <c r="M44" s="5">
        <f t="shared" ca="1" si="66"/>
        <v>182.53968253968253</v>
      </c>
      <c r="N44" s="5">
        <f t="shared" ca="1" si="66"/>
        <v>146.06741573033707</v>
      </c>
      <c r="O44" s="5">
        <f t="shared" ca="1" si="66"/>
        <v>146.06741573033707</v>
      </c>
      <c r="P44" s="5">
        <f t="shared" ca="1" si="66"/>
        <v>146.06741573033707</v>
      </c>
      <c r="Q44" s="5">
        <f t="shared" ca="1" si="66"/>
        <v>146.06741573033707</v>
      </c>
      <c r="R44" s="5">
        <f t="shared" ca="1" si="66"/>
        <v>146.06741573033707</v>
      </c>
      <c r="S44" s="5">
        <f t="shared" ca="1" si="66"/>
        <v>161.11111111111111</v>
      </c>
      <c r="T44" s="5">
        <f t="shared" ca="1" si="66"/>
        <v>146.06741573033707</v>
      </c>
      <c r="U44" s="5">
        <f t="shared" ca="1" si="66"/>
        <v>146.06741573033707</v>
      </c>
      <c r="V44" s="5">
        <f t="shared" ca="1" si="66"/>
        <v>146.06741573033707</v>
      </c>
      <c r="W44" s="5">
        <f t="shared" ca="1" si="66"/>
        <v>146.06741573033707</v>
      </c>
      <c r="X44" s="5">
        <f t="shared" ca="1" si="66"/>
        <v>146.06741573033707</v>
      </c>
      <c r="Y44" s="5">
        <f t="shared" ca="1" si="66"/>
        <v>161.11111111111111</v>
      </c>
    </row>
    <row r="45" spans="1:25" ht="30" x14ac:dyDescent="0.25">
      <c r="A45" s="24" t="s">
        <v>36</v>
      </c>
      <c r="B45" s="24" t="s">
        <v>26</v>
      </c>
      <c r="C45" s="10" t="s">
        <v>105</v>
      </c>
      <c r="D45" s="8">
        <f ca="1">RANDBETWEEN(D46*0.6,D46*0.7)</f>
        <v>745</v>
      </c>
      <c r="E45" s="8">
        <f ca="1">FLOOR($D45/9,1)</f>
        <v>82</v>
      </c>
      <c r="F45" s="8">
        <f t="shared" ref="F45:L45" ca="1" si="67">FLOOR($D45/9,1)</f>
        <v>82</v>
      </c>
      <c r="G45" s="8">
        <f t="shared" ca="1" si="67"/>
        <v>82</v>
      </c>
      <c r="H45" s="8">
        <f t="shared" ca="1" si="67"/>
        <v>82</v>
      </c>
      <c r="I45" s="8">
        <f t="shared" ca="1" si="67"/>
        <v>82</v>
      </c>
      <c r="J45" s="8">
        <f t="shared" ca="1" si="67"/>
        <v>82</v>
      </c>
      <c r="K45" s="8">
        <f t="shared" ca="1" si="67"/>
        <v>82</v>
      </c>
      <c r="L45" s="8">
        <f t="shared" ca="1" si="67"/>
        <v>82</v>
      </c>
      <c r="M45" s="8">
        <f ca="1">$D45-SUM(E45:L45)</f>
        <v>89</v>
      </c>
      <c r="N45" s="8">
        <f t="shared" ref="N45:R45" ca="1" si="68">FLOOR($D45/6,1)</f>
        <v>124</v>
      </c>
      <c r="O45" s="8">
        <f t="shared" ca="1" si="68"/>
        <v>124</v>
      </c>
      <c r="P45" s="8">
        <f t="shared" ca="1" si="68"/>
        <v>124</v>
      </c>
      <c r="Q45" s="8">
        <f t="shared" ca="1" si="68"/>
        <v>124</v>
      </c>
      <c r="R45" s="8">
        <f t="shared" ca="1" si="68"/>
        <v>124</v>
      </c>
      <c r="S45" s="8">
        <f ca="1">$D45-SUM(N45:R45)</f>
        <v>125</v>
      </c>
      <c r="T45" s="8">
        <f t="shared" ref="T45:X45" ca="1" si="69">FLOOR($D45/6, 1)</f>
        <v>124</v>
      </c>
      <c r="U45" s="8">
        <f t="shared" ca="1" si="69"/>
        <v>124</v>
      </c>
      <c r="V45" s="8">
        <f t="shared" ca="1" si="69"/>
        <v>124</v>
      </c>
      <c r="W45" s="8">
        <f t="shared" ca="1" si="69"/>
        <v>124</v>
      </c>
      <c r="X45" s="8">
        <f t="shared" ca="1" si="69"/>
        <v>124</v>
      </c>
      <c r="Y45" s="8">
        <f ca="1">$D45-SUM(T45:X45)</f>
        <v>125</v>
      </c>
    </row>
    <row r="46" spans="1:25" x14ac:dyDescent="0.25">
      <c r="A46" s="24"/>
      <c r="B46" s="24"/>
      <c r="C46" s="10" t="s">
        <v>25</v>
      </c>
      <c r="D46" s="3">
        <f ca="1">D43</f>
        <v>1070</v>
      </c>
      <c r="E46" s="3">
        <f t="shared" ref="E46:Y46" ca="1" si="70">E43</f>
        <v>118</v>
      </c>
      <c r="F46" s="3">
        <f t="shared" ca="1" si="70"/>
        <v>118</v>
      </c>
      <c r="G46" s="3">
        <f t="shared" ca="1" si="70"/>
        <v>118</v>
      </c>
      <c r="H46" s="3">
        <f t="shared" ca="1" si="70"/>
        <v>118</v>
      </c>
      <c r="I46" s="3">
        <f t="shared" ca="1" si="70"/>
        <v>118</v>
      </c>
      <c r="J46" s="3">
        <f t="shared" ca="1" si="70"/>
        <v>118</v>
      </c>
      <c r="K46" s="3">
        <f t="shared" ca="1" si="70"/>
        <v>118</v>
      </c>
      <c r="L46" s="3">
        <f t="shared" ca="1" si="70"/>
        <v>118</v>
      </c>
      <c r="M46" s="3">
        <f t="shared" ca="1" si="70"/>
        <v>126</v>
      </c>
      <c r="N46" s="3">
        <f t="shared" ca="1" si="70"/>
        <v>178</v>
      </c>
      <c r="O46" s="3">
        <f t="shared" ca="1" si="70"/>
        <v>178</v>
      </c>
      <c r="P46" s="3">
        <f t="shared" ca="1" si="70"/>
        <v>178</v>
      </c>
      <c r="Q46" s="3">
        <f t="shared" ca="1" si="70"/>
        <v>178</v>
      </c>
      <c r="R46" s="3">
        <f t="shared" ca="1" si="70"/>
        <v>178</v>
      </c>
      <c r="S46" s="3">
        <f t="shared" ca="1" si="70"/>
        <v>180</v>
      </c>
      <c r="T46" s="3">
        <f t="shared" ca="1" si="70"/>
        <v>178</v>
      </c>
      <c r="U46" s="3">
        <f t="shared" ca="1" si="70"/>
        <v>178</v>
      </c>
      <c r="V46" s="3">
        <f t="shared" ca="1" si="70"/>
        <v>178</v>
      </c>
      <c r="W46" s="3">
        <f t="shared" ca="1" si="70"/>
        <v>178</v>
      </c>
      <c r="X46" s="3">
        <f t="shared" ca="1" si="70"/>
        <v>178</v>
      </c>
      <c r="Y46" s="3">
        <f t="shared" ca="1" si="70"/>
        <v>180</v>
      </c>
    </row>
    <row r="47" spans="1:25" ht="30" x14ac:dyDescent="0.25">
      <c r="A47" s="24"/>
      <c r="B47" s="24"/>
      <c r="C47" s="17" t="s">
        <v>104</v>
      </c>
      <c r="D47" s="5">
        <f ca="1">IFERROR(D45/D46*1000,0)</f>
        <v>696.26168224299067</v>
      </c>
      <c r="E47" s="5">
        <f t="shared" ref="E47:Y47" ca="1" si="71">IFERROR(E45/E46*1000,0)</f>
        <v>694.9152542372882</v>
      </c>
      <c r="F47" s="5">
        <f t="shared" ca="1" si="71"/>
        <v>694.9152542372882</v>
      </c>
      <c r="G47" s="5">
        <f t="shared" ca="1" si="71"/>
        <v>694.9152542372882</v>
      </c>
      <c r="H47" s="5">
        <f t="shared" ca="1" si="71"/>
        <v>694.9152542372882</v>
      </c>
      <c r="I47" s="5">
        <f t="shared" ca="1" si="71"/>
        <v>694.9152542372882</v>
      </c>
      <c r="J47" s="5">
        <f t="shared" ca="1" si="71"/>
        <v>694.9152542372882</v>
      </c>
      <c r="K47" s="5">
        <f t="shared" ca="1" si="71"/>
        <v>694.9152542372882</v>
      </c>
      <c r="L47" s="5">
        <f t="shared" ca="1" si="71"/>
        <v>694.9152542372882</v>
      </c>
      <c r="M47" s="5">
        <f t="shared" ca="1" si="71"/>
        <v>706.34920634920638</v>
      </c>
      <c r="N47" s="5">
        <f t="shared" ca="1" si="71"/>
        <v>696.62921348314615</v>
      </c>
      <c r="O47" s="5">
        <f t="shared" ca="1" si="71"/>
        <v>696.62921348314615</v>
      </c>
      <c r="P47" s="5">
        <f t="shared" ca="1" si="71"/>
        <v>696.62921348314615</v>
      </c>
      <c r="Q47" s="5">
        <f t="shared" ca="1" si="71"/>
        <v>696.62921348314615</v>
      </c>
      <c r="R47" s="5">
        <f t="shared" ca="1" si="71"/>
        <v>696.62921348314615</v>
      </c>
      <c r="S47" s="5">
        <f t="shared" ca="1" si="71"/>
        <v>694.44444444444446</v>
      </c>
      <c r="T47" s="5">
        <f t="shared" ca="1" si="71"/>
        <v>696.62921348314615</v>
      </c>
      <c r="U47" s="5">
        <f t="shared" ca="1" si="71"/>
        <v>696.62921348314615</v>
      </c>
      <c r="V47" s="5">
        <f t="shared" ca="1" si="71"/>
        <v>696.62921348314615</v>
      </c>
      <c r="W47" s="5">
        <f t="shared" ca="1" si="71"/>
        <v>696.62921348314615</v>
      </c>
      <c r="X47" s="5">
        <f t="shared" ca="1" si="71"/>
        <v>696.62921348314615</v>
      </c>
      <c r="Y47" s="5">
        <f t="shared" ca="1" si="71"/>
        <v>694.44444444444446</v>
      </c>
    </row>
    <row r="48" spans="1:25" x14ac:dyDescent="0.25">
      <c r="A48" s="9" t="s">
        <v>32</v>
      </c>
      <c r="B48" s="9" t="s">
        <v>33</v>
      </c>
      <c r="C48" s="10" t="s">
        <v>34</v>
      </c>
      <c r="D48" s="8">
        <f ca="1">D7</f>
        <v>1070</v>
      </c>
      <c r="E48" s="8">
        <f t="shared" ref="E48:Y48" ca="1" si="72">E7</f>
        <v>118</v>
      </c>
      <c r="F48" s="8">
        <f t="shared" ca="1" si="72"/>
        <v>118</v>
      </c>
      <c r="G48" s="8">
        <f t="shared" ca="1" si="72"/>
        <v>118</v>
      </c>
      <c r="H48" s="8">
        <f t="shared" ca="1" si="72"/>
        <v>118</v>
      </c>
      <c r="I48" s="8">
        <f t="shared" ca="1" si="72"/>
        <v>118</v>
      </c>
      <c r="J48" s="8">
        <f t="shared" ca="1" si="72"/>
        <v>118</v>
      </c>
      <c r="K48" s="8">
        <f t="shared" ca="1" si="72"/>
        <v>118</v>
      </c>
      <c r="L48" s="8">
        <f t="shared" ca="1" si="72"/>
        <v>118</v>
      </c>
      <c r="M48" s="8">
        <f t="shared" ca="1" si="72"/>
        <v>126</v>
      </c>
      <c r="N48" s="8">
        <f t="shared" ca="1" si="72"/>
        <v>178</v>
      </c>
      <c r="O48" s="8">
        <f t="shared" ca="1" si="72"/>
        <v>178</v>
      </c>
      <c r="P48" s="8">
        <f t="shared" ca="1" si="72"/>
        <v>178</v>
      </c>
      <c r="Q48" s="8">
        <f t="shared" ca="1" si="72"/>
        <v>178</v>
      </c>
      <c r="R48" s="8">
        <f t="shared" ca="1" si="72"/>
        <v>178</v>
      </c>
      <c r="S48" s="8">
        <f t="shared" ca="1" si="72"/>
        <v>180</v>
      </c>
      <c r="T48" s="8">
        <f t="shared" ca="1" si="72"/>
        <v>178</v>
      </c>
      <c r="U48" s="8">
        <f t="shared" ca="1" si="72"/>
        <v>178</v>
      </c>
      <c r="V48" s="8">
        <f t="shared" ca="1" si="72"/>
        <v>178</v>
      </c>
      <c r="W48" s="8">
        <f t="shared" ca="1" si="72"/>
        <v>178</v>
      </c>
      <c r="X48" s="8">
        <f t="shared" ca="1" si="72"/>
        <v>178</v>
      </c>
      <c r="Y48" s="8">
        <f t="shared" ca="1" si="72"/>
        <v>180</v>
      </c>
    </row>
  </sheetData>
  <mergeCells count="37">
    <mergeCell ref="A45:A47"/>
    <mergeCell ref="B45:B47"/>
    <mergeCell ref="A42:A44"/>
    <mergeCell ref="B42:B44"/>
    <mergeCell ref="A21:A23"/>
    <mergeCell ref="B21:B23"/>
    <mergeCell ref="A24:A26"/>
    <mergeCell ref="B24:B26"/>
    <mergeCell ref="A36:A38"/>
    <mergeCell ref="B36:B38"/>
    <mergeCell ref="A39:A41"/>
    <mergeCell ref="B39:B41"/>
    <mergeCell ref="A33:A35"/>
    <mergeCell ref="B33:B35"/>
    <mergeCell ref="E4:M4"/>
    <mergeCell ref="N4:S4"/>
    <mergeCell ref="T4:Y4"/>
    <mergeCell ref="A6:A8"/>
    <mergeCell ref="B6:B8"/>
    <mergeCell ref="D4:D5"/>
    <mergeCell ref="A15:A17"/>
    <mergeCell ref="B15:B17"/>
    <mergeCell ref="B1:C1"/>
    <mergeCell ref="B2:C2"/>
    <mergeCell ref="A4:A5"/>
    <mergeCell ref="B4:B5"/>
    <mergeCell ref="C4:C5"/>
    <mergeCell ref="A9:A11"/>
    <mergeCell ref="B9:B11"/>
    <mergeCell ref="A12:A14"/>
    <mergeCell ref="B12:B14"/>
    <mergeCell ref="A18:A20"/>
    <mergeCell ref="B18:B20"/>
    <mergeCell ref="A27:A29"/>
    <mergeCell ref="B27:B29"/>
    <mergeCell ref="A30:A32"/>
    <mergeCell ref="B30:B3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D21A3-67E4-4194-A78C-F65B0DBF51C1}">
  <dimension ref="A1:G16"/>
  <sheetViews>
    <sheetView workbookViewId="0">
      <selection activeCell="E34" sqref="E34"/>
    </sheetView>
  </sheetViews>
  <sheetFormatPr defaultRowHeight="15" x14ac:dyDescent="0.25"/>
  <cols>
    <col min="1" max="1" width="6.85546875" bestFit="1" customWidth="1"/>
    <col min="2" max="4" width="17.140625" customWidth="1"/>
    <col min="5" max="5" width="11.5703125" bestFit="1" customWidth="1"/>
    <col min="6" max="6" width="15.28515625" bestFit="1" customWidth="1"/>
    <col min="7" max="7" width="12" customWidth="1"/>
  </cols>
  <sheetData>
    <row r="1" spans="1:7" ht="45" x14ac:dyDescent="0.25">
      <c r="A1" s="13" t="s">
        <v>31</v>
      </c>
      <c r="B1" s="13" t="s">
        <v>97</v>
      </c>
      <c r="C1" s="13" t="s">
        <v>98</v>
      </c>
      <c r="D1" s="13" t="s">
        <v>99</v>
      </c>
      <c r="E1" s="13" t="s">
        <v>100</v>
      </c>
      <c r="F1" s="13" t="s">
        <v>101</v>
      </c>
      <c r="G1" s="13" t="s">
        <v>102</v>
      </c>
    </row>
    <row r="2" spans="1:7" x14ac:dyDescent="0.25">
      <c r="A2" s="14">
        <v>46023</v>
      </c>
      <c r="B2" s="15">
        <v>46023</v>
      </c>
      <c r="C2" s="15">
        <v>46053</v>
      </c>
      <c r="D2" s="15">
        <f t="shared" ref="D2:D16" si="0">IF(WEEKDAY(C2+(7*8))=7,C2+(7*8)-1,IF(WEEKDAY(C2+(7*8))=1,C2+(7*8)-2,C2+(7*8)))</f>
        <v>46108</v>
      </c>
      <c r="E2" s="15">
        <f t="shared" ref="E2:E16" si="1">D2+7</f>
        <v>46115</v>
      </c>
      <c r="F2" s="15">
        <f t="shared" ref="F2:F16" si="2">E2</f>
        <v>46115</v>
      </c>
      <c r="G2" s="15">
        <f t="shared" ref="G2:G16" si="3">F2+7</f>
        <v>46122</v>
      </c>
    </row>
    <row r="3" spans="1:7" x14ac:dyDescent="0.25">
      <c r="A3" s="14">
        <v>46054</v>
      </c>
      <c r="B3" s="15">
        <v>46054</v>
      </c>
      <c r="C3" s="15">
        <v>46081</v>
      </c>
      <c r="D3" s="15">
        <f t="shared" si="0"/>
        <v>46136</v>
      </c>
      <c r="E3" s="15">
        <f t="shared" si="1"/>
        <v>46143</v>
      </c>
      <c r="F3" s="15">
        <f t="shared" si="2"/>
        <v>46143</v>
      </c>
      <c r="G3" s="15">
        <f t="shared" si="3"/>
        <v>46150</v>
      </c>
    </row>
    <row r="4" spans="1:7" x14ac:dyDescent="0.25">
      <c r="A4" s="14">
        <v>46082</v>
      </c>
      <c r="B4" s="15">
        <v>46082</v>
      </c>
      <c r="C4" s="15">
        <v>46112</v>
      </c>
      <c r="D4" s="15">
        <f t="shared" si="0"/>
        <v>46168</v>
      </c>
      <c r="E4" s="15">
        <f t="shared" si="1"/>
        <v>46175</v>
      </c>
      <c r="F4" s="15">
        <f t="shared" si="2"/>
        <v>46175</v>
      </c>
      <c r="G4" s="15">
        <f t="shared" si="3"/>
        <v>46182</v>
      </c>
    </row>
    <row r="5" spans="1:7" x14ac:dyDescent="0.25">
      <c r="A5" s="14">
        <v>46113</v>
      </c>
      <c r="B5" s="15">
        <v>46113</v>
      </c>
      <c r="C5" s="15">
        <v>46142</v>
      </c>
      <c r="D5" s="15">
        <f t="shared" si="0"/>
        <v>46198</v>
      </c>
      <c r="E5" s="15">
        <f t="shared" si="1"/>
        <v>46205</v>
      </c>
      <c r="F5" s="15">
        <f t="shared" si="2"/>
        <v>46205</v>
      </c>
      <c r="G5" s="15">
        <f t="shared" si="3"/>
        <v>46212</v>
      </c>
    </row>
    <row r="6" spans="1:7" x14ac:dyDescent="0.25">
      <c r="A6" s="14">
        <v>46143</v>
      </c>
      <c r="B6" s="15">
        <v>46143</v>
      </c>
      <c r="C6" s="15">
        <v>46173</v>
      </c>
      <c r="D6" s="15">
        <f t="shared" si="0"/>
        <v>46227</v>
      </c>
      <c r="E6" s="15">
        <f t="shared" si="1"/>
        <v>46234</v>
      </c>
      <c r="F6" s="15">
        <f t="shared" si="2"/>
        <v>46234</v>
      </c>
      <c r="G6" s="15">
        <f t="shared" si="3"/>
        <v>46241</v>
      </c>
    </row>
    <row r="7" spans="1:7" x14ac:dyDescent="0.25">
      <c r="A7" s="14">
        <v>46174</v>
      </c>
      <c r="B7" s="15">
        <v>46174</v>
      </c>
      <c r="C7" s="15">
        <v>46203</v>
      </c>
      <c r="D7" s="15">
        <f t="shared" si="0"/>
        <v>46259</v>
      </c>
      <c r="E7" s="15">
        <f t="shared" si="1"/>
        <v>46266</v>
      </c>
      <c r="F7" s="15">
        <f t="shared" si="2"/>
        <v>46266</v>
      </c>
      <c r="G7" s="15">
        <f t="shared" si="3"/>
        <v>46273</v>
      </c>
    </row>
    <row r="8" spans="1:7" x14ac:dyDescent="0.25">
      <c r="A8" s="14">
        <v>46204</v>
      </c>
      <c r="B8" s="15">
        <v>46204</v>
      </c>
      <c r="C8" s="15">
        <v>46234</v>
      </c>
      <c r="D8" s="15">
        <f t="shared" si="0"/>
        <v>46290</v>
      </c>
      <c r="E8" s="15">
        <f t="shared" si="1"/>
        <v>46297</v>
      </c>
      <c r="F8" s="15">
        <f t="shared" si="2"/>
        <v>46297</v>
      </c>
      <c r="G8" s="15">
        <f t="shared" si="3"/>
        <v>46304</v>
      </c>
    </row>
    <row r="9" spans="1:7" x14ac:dyDescent="0.25">
      <c r="A9" s="14">
        <v>46235</v>
      </c>
      <c r="B9" s="15">
        <v>46235</v>
      </c>
      <c r="C9" s="15">
        <v>46265</v>
      </c>
      <c r="D9" s="15">
        <f t="shared" si="0"/>
        <v>46321</v>
      </c>
      <c r="E9" s="15">
        <f t="shared" si="1"/>
        <v>46328</v>
      </c>
      <c r="F9" s="15">
        <f t="shared" si="2"/>
        <v>46328</v>
      </c>
      <c r="G9" s="15">
        <f t="shared" si="3"/>
        <v>46335</v>
      </c>
    </row>
    <row r="10" spans="1:7" x14ac:dyDescent="0.25">
      <c r="A10" s="14">
        <v>46266</v>
      </c>
      <c r="B10" s="15">
        <v>46266</v>
      </c>
      <c r="C10" s="15">
        <v>46295</v>
      </c>
      <c r="D10" s="15">
        <f t="shared" si="0"/>
        <v>46351</v>
      </c>
      <c r="E10" s="15">
        <f t="shared" si="1"/>
        <v>46358</v>
      </c>
      <c r="F10" s="15">
        <f t="shared" si="2"/>
        <v>46358</v>
      </c>
      <c r="G10" s="15">
        <f t="shared" si="3"/>
        <v>46365</v>
      </c>
    </row>
    <row r="11" spans="1:7" x14ac:dyDescent="0.25">
      <c r="A11" s="14">
        <v>46296</v>
      </c>
      <c r="B11" s="15">
        <v>46296</v>
      </c>
      <c r="C11" s="15">
        <v>46326</v>
      </c>
      <c r="D11" s="15">
        <f t="shared" si="0"/>
        <v>46381</v>
      </c>
      <c r="E11" s="15">
        <f t="shared" si="1"/>
        <v>46388</v>
      </c>
      <c r="F11" s="15">
        <f t="shared" si="2"/>
        <v>46388</v>
      </c>
      <c r="G11" s="15">
        <f t="shared" si="3"/>
        <v>46395</v>
      </c>
    </row>
    <row r="12" spans="1:7" x14ac:dyDescent="0.25">
      <c r="A12" s="14">
        <v>46327</v>
      </c>
      <c r="B12" s="15">
        <v>46327</v>
      </c>
      <c r="C12" s="15">
        <v>46356</v>
      </c>
      <c r="D12" s="15">
        <f t="shared" si="0"/>
        <v>46412</v>
      </c>
      <c r="E12" s="15">
        <f t="shared" si="1"/>
        <v>46419</v>
      </c>
      <c r="F12" s="15">
        <f t="shared" si="2"/>
        <v>46419</v>
      </c>
      <c r="G12" s="15">
        <f t="shared" si="3"/>
        <v>46426</v>
      </c>
    </row>
    <row r="13" spans="1:7" x14ac:dyDescent="0.25">
      <c r="A13" s="14">
        <v>46357</v>
      </c>
      <c r="B13" s="15">
        <v>46357</v>
      </c>
      <c r="C13" s="15">
        <v>46387</v>
      </c>
      <c r="D13" s="15">
        <f t="shared" si="0"/>
        <v>46443</v>
      </c>
      <c r="E13" s="15">
        <f t="shared" si="1"/>
        <v>46450</v>
      </c>
      <c r="F13" s="15">
        <f t="shared" si="2"/>
        <v>46450</v>
      </c>
      <c r="G13" s="15">
        <f t="shared" si="3"/>
        <v>46457</v>
      </c>
    </row>
    <row r="14" spans="1:7" x14ac:dyDescent="0.25">
      <c r="A14" s="14">
        <v>46388</v>
      </c>
      <c r="B14" s="15">
        <v>46388</v>
      </c>
      <c r="C14" s="15">
        <v>46418</v>
      </c>
      <c r="D14" s="15">
        <f t="shared" si="0"/>
        <v>46472</v>
      </c>
      <c r="E14" s="15">
        <f t="shared" si="1"/>
        <v>46479</v>
      </c>
      <c r="F14" s="15">
        <f t="shared" si="2"/>
        <v>46479</v>
      </c>
      <c r="G14" s="15">
        <f t="shared" si="3"/>
        <v>46486</v>
      </c>
    </row>
    <row r="15" spans="1:7" x14ac:dyDescent="0.25">
      <c r="A15" s="14">
        <v>46419</v>
      </c>
      <c r="B15" s="15">
        <v>46419</v>
      </c>
      <c r="C15" s="15">
        <v>46446</v>
      </c>
      <c r="D15" s="15">
        <f t="shared" si="0"/>
        <v>46500</v>
      </c>
      <c r="E15" s="15">
        <f t="shared" si="1"/>
        <v>46507</v>
      </c>
      <c r="F15" s="15">
        <f t="shared" si="2"/>
        <v>46507</v>
      </c>
      <c r="G15" s="15">
        <f t="shared" si="3"/>
        <v>46514</v>
      </c>
    </row>
    <row r="16" spans="1:7" x14ac:dyDescent="0.25">
      <c r="A16" s="14">
        <v>46447</v>
      </c>
      <c r="B16" s="15">
        <v>46447</v>
      </c>
      <c r="C16" s="15">
        <v>46477</v>
      </c>
      <c r="D16" s="15">
        <f t="shared" si="0"/>
        <v>46533</v>
      </c>
      <c r="E16" s="15">
        <f t="shared" si="1"/>
        <v>46540</v>
      </c>
      <c r="F16" s="15">
        <f t="shared" si="2"/>
        <v>46540</v>
      </c>
      <c r="G16" s="15">
        <f t="shared" si="3"/>
        <v>46547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5839D-D487-42BA-9338-C5C1FB9681DD}">
  <dimension ref="A1:C16"/>
  <sheetViews>
    <sheetView topLeftCell="A4" workbookViewId="0">
      <selection activeCell="B7" sqref="B7"/>
    </sheetView>
  </sheetViews>
  <sheetFormatPr defaultRowHeight="15" x14ac:dyDescent="0.25"/>
  <cols>
    <col min="1" max="1" width="38.140625" customWidth="1"/>
    <col min="2" max="2" width="60.42578125" customWidth="1"/>
    <col min="3" max="3" width="38.140625" customWidth="1"/>
    <col min="6" max="6" width="8.7109375" customWidth="1"/>
    <col min="9" max="9" width="8.7109375" customWidth="1"/>
  </cols>
  <sheetData>
    <row r="1" spans="1:3" x14ac:dyDescent="0.25">
      <c r="A1" s="18" t="s">
        <v>39</v>
      </c>
      <c r="B1" s="18" t="s">
        <v>132</v>
      </c>
      <c r="C1" s="18" t="s">
        <v>133</v>
      </c>
    </row>
    <row r="2" spans="1:3" ht="90" x14ac:dyDescent="0.25">
      <c r="A2" s="19" t="s">
        <v>110</v>
      </c>
      <c r="B2" s="19" t="s">
        <v>170</v>
      </c>
      <c r="C2" s="19" t="s">
        <v>135</v>
      </c>
    </row>
    <row r="3" spans="1:3" ht="90" x14ac:dyDescent="0.25">
      <c r="A3" s="19" t="s">
        <v>116</v>
      </c>
      <c r="B3" s="19" t="s">
        <v>171</v>
      </c>
      <c r="C3" s="19" t="s">
        <v>135</v>
      </c>
    </row>
    <row r="4" spans="1:3" ht="90" x14ac:dyDescent="0.25">
      <c r="A4" s="19" t="s">
        <v>114</v>
      </c>
      <c r="B4" s="19" t="s">
        <v>176</v>
      </c>
      <c r="C4" s="19" t="s">
        <v>135</v>
      </c>
    </row>
    <row r="5" spans="1:3" ht="90" x14ac:dyDescent="0.25">
      <c r="A5" s="19" t="s">
        <v>117</v>
      </c>
      <c r="B5" s="19" t="s">
        <v>175</v>
      </c>
      <c r="C5" s="19" t="s">
        <v>135</v>
      </c>
    </row>
    <row r="6" spans="1:3" ht="90" x14ac:dyDescent="0.25">
      <c r="A6" s="19" t="s">
        <v>134</v>
      </c>
      <c r="B6" s="19" t="s">
        <v>174</v>
      </c>
      <c r="C6" s="19" t="s">
        <v>135</v>
      </c>
    </row>
    <row r="7" spans="1:3" ht="90" x14ac:dyDescent="0.25">
      <c r="A7" s="19" t="s">
        <v>27</v>
      </c>
      <c r="B7" s="19" t="s">
        <v>168</v>
      </c>
      <c r="C7" s="19" t="s">
        <v>135</v>
      </c>
    </row>
    <row r="8" spans="1:3" ht="90" x14ac:dyDescent="0.25">
      <c r="A8" s="19" t="s">
        <v>122</v>
      </c>
      <c r="B8" s="19" t="s">
        <v>167</v>
      </c>
      <c r="C8" s="19" t="s">
        <v>135</v>
      </c>
    </row>
    <row r="9" spans="1:3" ht="90" x14ac:dyDescent="0.25">
      <c r="A9" s="19" t="s">
        <v>124</v>
      </c>
      <c r="B9" s="19" t="s">
        <v>166</v>
      </c>
      <c r="C9" s="19" t="s">
        <v>135</v>
      </c>
    </row>
    <row r="10" spans="1:3" ht="90" x14ac:dyDescent="0.25">
      <c r="A10" s="19" t="s">
        <v>126</v>
      </c>
      <c r="B10" s="19" t="s">
        <v>165</v>
      </c>
      <c r="C10" s="19" t="s">
        <v>135</v>
      </c>
    </row>
    <row r="11" spans="1:3" ht="90" x14ac:dyDescent="0.25">
      <c r="A11" s="19" t="s">
        <v>128</v>
      </c>
      <c r="B11" s="19" t="s">
        <v>164</v>
      </c>
      <c r="C11" s="19" t="s">
        <v>135</v>
      </c>
    </row>
    <row r="12" spans="1:3" ht="60" x14ac:dyDescent="0.25">
      <c r="A12" s="19" t="s">
        <v>136</v>
      </c>
      <c r="B12" s="19" t="s">
        <v>163</v>
      </c>
      <c r="C12" s="19" t="s">
        <v>135</v>
      </c>
    </row>
    <row r="13" spans="1:3" ht="60" x14ac:dyDescent="0.25">
      <c r="A13" s="19" t="s">
        <v>137</v>
      </c>
      <c r="B13" s="19" t="s">
        <v>148</v>
      </c>
      <c r="C13" s="19" t="s">
        <v>135</v>
      </c>
    </row>
    <row r="14" spans="1:3" ht="90" x14ac:dyDescent="0.25">
      <c r="A14" s="19" t="s">
        <v>103</v>
      </c>
      <c r="B14" s="19" t="s">
        <v>172</v>
      </c>
      <c r="C14" s="19" t="s">
        <v>135</v>
      </c>
    </row>
    <row r="15" spans="1:3" ht="90" x14ac:dyDescent="0.25">
      <c r="A15" s="19" t="s">
        <v>104</v>
      </c>
      <c r="B15" s="19" t="s">
        <v>169</v>
      </c>
      <c r="C15" s="19" t="s">
        <v>135</v>
      </c>
    </row>
    <row r="16" spans="1:3" ht="60" x14ac:dyDescent="0.25">
      <c r="A16" s="19" t="s">
        <v>34</v>
      </c>
      <c r="B16" s="19" t="s">
        <v>173</v>
      </c>
      <c r="C16" s="2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FE053-4B70-4BA9-B11F-2198580FFF27}">
  <dimension ref="A1:J10"/>
  <sheetViews>
    <sheetView workbookViewId="0">
      <selection activeCell="O4" sqref="O4"/>
    </sheetView>
  </sheetViews>
  <sheetFormatPr defaultRowHeight="15" x14ac:dyDescent="0.25"/>
  <sheetData>
    <row r="1" spans="1:10" x14ac:dyDescent="0.25">
      <c r="A1" s="35" t="s">
        <v>138</v>
      </c>
      <c r="B1" s="35"/>
      <c r="C1" s="35"/>
      <c r="D1" s="35"/>
      <c r="E1" s="35"/>
      <c r="F1" s="35"/>
      <c r="G1" s="35"/>
      <c r="H1" s="35"/>
      <c r="I1" s="35"/>
      <c r="J1" s="35"/>
    </row>
    <row r="2" spans="1:10" ht="80.45" customHeight="1" x14ac:dyDescent="0.25">
      <c r="A2" s="37" t="s">
        <v>139</v>
      </c>
      <c r="B2" s="36"/>
      <c r="C2" s="36"/>
      <c r="D2" s="36"/>
      <c r="E2" s="36"/>
      <c r="F2" s="36"/>
      <c r="G2" s="36"/>
      <c r="H2" s="36"/>
      <c r="I2" s="36"/>
      <c r="J2" s="36"/>
    </row>
    <row r="3" spans="1:10" x14ac:dyDescent="0.25">
      <c r="A3" s="35" t="s">
        <v>140</v>
      </c>
      <c r="B3" s="35"/>
      <c r="C3" s="35"/>
      <c r="D3" s="35"/>
      <c r="E3" s="35"/>
      <c r="F3" s="35"/>
      <c r="G3" s="35"/>
      <c r="H3" s="35"/>
      <c r="I3" s="35"/>
      <c r="J3" s="35"/>
    </row>
    <row r="4" spans="1:10" ht="333" customHeight="1" x14ac:dyDescent="0.25">
      <c r="A4" s="36" t="s">
        <v>141</v>
      </c>
      <c r="B4" s="36"/>
      <c r="C4" s="36"/>
      <c r="D4" s="36"/>
      <c r="E4" s="36"/>
      <c r="F4" s="36"/>
      <c r="G4" s="36"/>
      <c r="H4" s="36"/>
      <c r="I4" s="36"/>
      <c r="J4" s="36"/>
    </row>
    <row r="5" spans="1:10" ht="111.6" customHeight="1" x14ac:dyDescent="0.25">
      <c r="A5" s="36" t="s">
        <v>142</v>
      </c>
      <c r="B5" s="36"/>
      <c r="C5" s="36"/>
      <c r="D5" s="36"/>
      <c r="E5" s="36"/>
      <c r="F5" s="36"/>
      <c r="G5" s="36"/>
      <c r="H5" s="36"/>
      <c r="I5" s="36"/>
      <c r="J5" s="36"/>
    </row>
    <row r="6" spans="1:10" x14ac:dyDescent="0.25">
      <c r="A6" s="35" t="s">
        <v>143</v>
      </c>
      <c r="B6" s="35"/>
      <c r="C6" s="35"/>
      <c r="D6" s="35"/>
      <c r="E6" s="35"/>
      <c r="F6" s="35"/>
      <c r="G6" s="35"/>
      <c r="H6" s="35"/>
      <c r="I6" s="35"/>
      <c r="J6" s="35"/>
    </row>
    <row r="7" spans="1:10" x14ac:dyDescent="0.25">
      <c r="A7" s="36" t="s">
        <v>144</v>
      </c>
      <c r="B7" s="36"/>
      <c r="C7" s="36"/>
      <c r="D7" s="36"/>
      <c r="E7" s="36"/>
      <c r="F7" s="36"/>
      <c r="G7" s="36"/>
      <c r="H7" s="36"/>
      <c r="I7" s="36"/>
      <c r="J7" s="36"/>
    </row>
    <row r="8" spans="1:10" ht="38.450000000000003" customHeight="1" x14ac:dyDescent="0.25">
      <c r="A8" s="38" t="s">
        <v>145</v>
      </c>
      <c r="B8" s="38"/>
      <c r="C8" s="38"/>
      <c r="D8" s="38"/>
      <c r="E8" s="38"/>
      <c r="F8" s="38"/>
      <c r="G8" s="38"/>
      <c r="H8" s="38"/>
      <c r="I8" s="38"/>
      <c r="J8" s="38"/>
    </row>
    <row r="9" spans="1:10" x14ac:dyDescent="0.25">
      <c r="A9" s="35" t="s">
        <v>146</v>
      </c>
      <c r="B9" s="35"/>
      <c r="C9" s="35"/>
      <c r="D9" s="35"/>
      <c r="E9" s="35"/>
      <c r="F9" s="35"/>
      <c r="G9" s="35"/>
      <c r="H9" s="35"/>
      <c r="I9" s="35"/>
      <c r="J9" s="35"/>
    </row>
    <row r="10" spans="1:10" ht="63.95" customHeight="1" x14ac:dyDescent="0.25">
      <c r="A10" s="36" t="s">
        <v>147</v>
      </c>
      <c r="B10" s="36"/>
      <c r="C10" s="36"/>
      <c r="D10" s="36"/>
      <c r="E10" s="36"/>
      <c r="F10" s="36"/>
      <c r="G10" s="36"/>
      <c r="H10" s="36"/>
      <c r="I10" s="36"/>
      <c r="J10" s="36"/>
    </row>
  </sheetData>
  <mergeCells count="10">
    <mergeCell ref="A3:J3"/>
    <mergeCell ref="A4:J4"/>
    <mergeCell ref="A1:J1"/>
    <mergeCell ref="A2:J2"/>
    <mergeCell ref="A10:J10"/>
    <mergeCell ref="A8:J8"/>
    <mergeCell ref="A6:J6"/>
    <mergeCell ref="A7:J7"/>
    <mergeCell ref="A9:J9"/>
    <mergeCell ref="A5:J5"/>
  </mergeCells>
  <hyperlinks>
    <hyperlink ref="A8:J8" r:id="rId1" display="Specific acute services were defined in the NHS England 2023/24 priorities and operational guidance by treatment function code." xr:uid="{C76473CB-600F-455D-9448-8BAB28742A4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2DA7B-8D7E-4C0D-B436-2F6E405420D6}">
  <dimension ref="A1:C44"/>
  <sheetViews>
    <sheetView workbookViewId="0">
      <selection activeCell="G18" sqref="G18"/>
    </sheetView>
  </sheetViews>
  <sheetFormatPr defaultRowHeight="15" x14ac:dyDescent="0.25"/>
  <cols>
    <col min="1" max="1" width="78.42578125" bestFit="1" customWidth="1"/>
  </cols>
  <sheetData>
    <row r="1" spans="1:3" x14ac:dyDescent="0.25">
      <c r="A1" t="s">
        <v>30</v>
      </c>
      <c r="C1" t="s">
        <v>31</v>
      </c>
    </row>
    <row r="2" spans="1:3" x14ac:dyDescent="0.25">
      <c r="A2" t="s">
        <v>42</v>
      </c>
      <c r="C2" s="7">
        <v>46023</v>
      </c>
    </row>
    <row r="3" spans="1:3" x14ac:dyDescent="0.25">
      <c r="A3" t="s">
        <v>43</v>
      </c>
      <c r="C3" s="7">
        <v>46054</v>
      </c>
    </row>
    <row r="4" spans="1:3" x14ac:dyDescent="0.25">
      <c r="A4" t="s">
        <v>44</v>
      </c>
      <c r="C4" s="7">
        <v>46082</v>
      </c>
    </row>
    <row r="5" spans="1:3" x14ac:dyDescent="0.25">
      <c r="A5" t="s">
        <v>45</v>
      </c>
      <c r="C5" s="7">
        <v>46113</v>
      </c>
    </row>
    <row r="6" spans="1:3" x14ac:dyDescent="0.25">
      <c r="A6" t="s">
        <v>46</v>
      </c>
      <c r="C6" s="7">
        <v>46143</v>
      </c>
    </row>
    <row r="7" spans="1:3" x14ac:dyDescent="0.25">
      <c r="A7" t="s">
        <v>47</v>
      </c>
      <c r="C7" s="7">
        <v>46174</v>
      </c>
    </row>
    <row r="8" spans="1:3" x14ac:dyDescent="0.25">
      <c r="A8" t="s">
        <v>48</v>
      </c>
      <c r="C8" s="7">
        <v>46204</v>
      </c>
    </row>
    <row r="9" spans="1:3" x14ac:dyDescent="0.25">
      <c r="A9" t="s">
        <v>49</v>
      </c>
      <c r="C9" s="7">
        <v>46235</v>
      </c>
    </row>
    <row r="10" spans="1:3" x14ac:dyDescent="0.25">
      <c r="A10" t="s">
        <v>50</v>
      </c>
      <c r="C10" s="7">
        <v>46266</v>
      </c>
    </row>
    <row r="11" spans="1:3" x14ac:dyDescent="0.25">
      <c r="A11" t="s">
        <v>51</v>
      </c>
      <c r="C11" s="7">
        <v>46296</v>
      </c>
    </row>
    <row r="12" spans="1:3" x14ac:dyDescent="0.25">
      <c r="A12" t="s">
        <v>52</v>
      </c>
      <c r="C12" s="7">
        <v>46327</v>
      </c>
    </row>
    <row r="13" spans="1:3" x14ac:dyDescent="0.25">
      <c r="A13" t="s">
        <v>53</v>
      </c>
      <c r="C13" s="7">
        <v>46357</v>
      </c>
    </row>
    <row r="14" spans="1:3" x14ac:dyDescent="0.25">
      <c r="A14" t="s">
        <v>54</v>
      </c>
      <c r="C14" s="7">
        <v>46388</v>
      </c>
    </row>
    <row r="15" spans="1:3" x14ac:dyDescent="0.25">
      <c r="A15" t="s">
        <v>55</v>
      </c>
      <c r="C15" s="7">
        <v>46419</v>
      </c>
    </row>
    <row r="16" spans="1:3" x14ac:dyDescent="0.25">
      <c r="A16" t="s">
        <v>56</v>
      </c>
      <c r="C16" s="7">
        <v>46447</v>
      </c>
    </row>
    <row r="17" spans="1:3" x14ac:dyDescent="0.25">
      <c r="A17" t="s">
        <v>57</v>
      </c>
      <c r="C17" s="7">
        <v>46478</v>
      </c>
    </row>
    <row r="18" spans="1:3" x14ac:dyDescent="0.25">
      <c r="A18" t="s">
        <v>58</v>
      </c>
      <c r="C18" s="7">
        <v>46508</v>
      </c>
    </row>
    <row r="19" spans="1:3" x14ac:dyDescent="0.25">
      <c r="A19" t="s">
        <v>59</v>
      </c>
      <c r="C19" s="7">
        <v>46539</v>
      </c>
    </row>
    <row r="20" spans="1:3" x14ac:dyDescent="0.25">
      <c r="A20" t="s">
        <v>60</v>
      </c>
      <c r="C20" s="7">
        <v>46569</v>
      </c>
    </row>
    <row r="21" spans="1:3" x14ac:dyDescent="0.25">
      <c r="A21" t="s">
        <v>61</v>
      </c>
      <c r="C21" s="7">
        <v>46600</v>
      </c>
    </row>
    <row r="22" spans="1:3" x14ac:dyDescent="0.25">
      <c r="A22" t="s">
        <v>62</v>
      </c>
      <c r="C22" s="7">
        <v>46631</v>
      </c>
    </row>
    <row r="23" spans="1:3" x14ac:dyDescent="0.25">
      <c r="A23" t="s">
        <v>63</v>
      </c>
      <c r="C23" s="7">
        <v>46661</v>
      </c>
    </row>
    <row r="24" spans="1:3" x14ac:dyDescent="0.25">
      <c r="A24" t="s">
        <v>64</v>
      </c>
      <c r="C24" s="7">
        <v>46692</v>
      </c>
    </row>
    <row r="25" spans="1:3" x14ac:dyDescent="0.25">
      <c r="A25" t="s">
        <v>65</v>
      </c>
      <c r="C25" s="7">
        <v>46722</v>
      </c>
    </row>
    <row r="26" spans="1:3" x14ac:dyDescent="0.25">
      <c r="A26" t="s">
        <v>66</v>
      </c>
      <c r="C26" s="7">
        <v>46753</v>
      </c>
    </row>
    <row r="27" spans="1:3" x14ac:dyDescent="0.25">
      <c r="A27" t="s">
        <v>67</v>
      </c>
      <c r="C27" s="7">
        <v>46784</v>
      </c>
    </row>
    <row r="28" spans="1:3" x14ac:dyDescent="0.25">
      <c r="A28" t="s">
        <v>68</v>
      </c>
      <c r="C28" s="7">
        <v>46813</v>
      </c>
    </row>
    <row r="29" spans="1:3" x14ac:dyDescent="0.25">
      <c r="A29" t="s">
        <v>69</v>
      </c>
      <c r="C29" s="7"/>
    </row>
    <row r="30" spans="1:3" x14ac:dyDescent="0.25">
      <c r="A30" t="s">
        <v>70</v>
      </c>
      <c r="C30" s="7"/>
    </row>
    <row r="31" spans="1:3" x14ac:dyDescent="0.25">
      <c r="A31" t="s">
        <v>71</v>
      </c>
      <c r="C31" s="7"/>
    </row>
    <row r="32" spans="1:3" x14ac:dyDescent="0.25">
      <c r="A32" t="s">
        <v>72</v>
      </c>
      <c r="C32" s="7"/>
    </row>
    <row r="33" spans="1:3" x14ac:dyDescent="0.25">
      <c r="A33" t="s">
        <v>73</v>
      </c>
      <c r="C33" s="7"/>
    </row>
    <row r="34" spans="1:3" x14ac:dyDescent="0.25">
      <c r="A34" t="s">
        <v>74</v>
      </c>
      <c r="C34" s="7"/>
    </row>
    <row r="35" spans="1:3" x14ac:dyDescent="0.25">
      <c r="A35" t="s">
        <v>75</v>
      </c>
      <c r="C35" s="7"/>
    </row>
    <row r="36" spans="1:3" x14ac:dyDescent="0.25">
      <c r="A36" t="s">
        <v>76</v>
      </c>
      <c r="C36" s="7"/>
    </row>
    <row r="37" spans="1:3" x14ac:dyDescent="0.25">
      <c r="A37" t="s">
        <v>77</v>
      </c>
    </row>
    <row r="38" spans="1:3" x14ac:dyDescent="0.25">
      <c r="A38" t="s">
        <v>78</v>
      </c>
    </row>
    <row r="39" spans="1:3" x14ac:dyDescent="0.25">
      <c r="A39" t="s">
        <v>79</v>
      </c>
    </row>
    <row r="40" spans="1:3" x14ac:dyDescent="0.25">
      <c r="A40" t="s">
        <v>80</v>
      </c>
    </row>
    <row r="41" spans="1:3" x14ac:dyDescent="0.25">
      <c r="A41" t="s">
        <v>81</v>
      </c>
    </row>
    <row r="42" spans="1:3" x14ac:dyDescent="0.25">
      <c r="A42" t="s">
        <v>82</v>
      </c>
    </row>
    <row r="43" spans="1:3" x14ac:dyDescent="0.25">
      <c r="A43" t="s">
        <v>83</v>
      </c>
    </row>
    <row r="44" spans="1:3" x14ac:dyDescent="0.25">
      <c r="A44" t="s">
        <v>84</v>
      </c>
    </row>
  </sheetData>
  <phoneticPr fontId="3" type="noConversion"/>
  <pageMargins left="0.7" right="0.7" top="0.75" bottom="0.75" header="0.3" footer="0.3"/>
</worksheet>
</file>

<file path=docMetadata/LabelInfo.xml><?xml version="1.0" encoding="utf-8"?>
<clbl:labelList xmlns:clbl="http://schemas.microsoft.com/office/2020/mipLabelMetadata">
  <clbl:label id="{37c354b2-85b0-47f5-b222-07b48d774ee3}" enabled="0" method="" siteId="{37c354b2-85b0-47f5-b222-07b48d774ee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SubmissionTemplate</vt:lpstr>
      <vt:lpstr>SubmissionTimetable</vt:lpstr>
      <vt:lpstr>Definitions</vt:lpstr>
      <vt:lpstr>AcuteNonElectiveDefs</vt:lpstr>
      <vt:lpstr>Lookups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Woodall (Strategy Unit, hosted by ML)</dc:creator>
  <cp:lastModifiedBy>Andre Bilbrough (Strategy Unit, hosted by ML)</cp:lastModifiedBy>
  <dcterms:created xsi:type="dcterms:W3CDTF">2025-10-16T13:36:25Z</dcterms:created>
  <dcterms:modified xsi:type="dcterms:W3CDTF">2026-02-19T11:55:15Z</dcterms:modified>
</cp:coreProperties>
</file>