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csucloudservices-my.sharepoint.com/personal/andre_bilbrough_mlcsu_nhs_uk/Documents/Documents/nnhip_index_and_scorecard/R/tests/input/invalid/"/>
    </mc:Choice>
  </mc:AlternateContent>
  <xr:revisionPtr revIDLastSave="85" documentId="8_{E21078F7-3763-4B72-BB36-CDCCD0AFD8C9}" xr6:coauthVersionLast="47" xr6:coauthVersionMax="47" xr10:uidLastSave="{5E4BA6DD-21CE-4CE0-B6BB-6163D225E997}"/>
  <bookViews>
    <workbookView xWindow="28680" yWindow="-120" windowWidth="29040" windowHeight="15720" xr2:uid="{4A8AC64A-AEEC-4FD7-924B-33729FAE8CFD}"/>
  </bookViews>
  <sheets>
    <sheet name="Instructions" sheetId="3" r:id="rId1"/>
    <sheet name="SubmissionTimetable" sheetId="5" r:id="rId2"/>
    <sheet name="Definitions" sheetId="6" r:id="rId3"/>
    <sheet name="AcuteNonElectiveDefs" sheetId="7" r:id="rId4"/>
    <sheet name="Lookups" sheetId="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6" i="5" l="1"/>
  <c r="E16" i="5" s="1"/>
  <c r="F16" i="5" s="1"/>
  <c r="G16" i="5" s="1"/>
  <c r="D15" i="5"/>
  <c r="E15" i="5" s="1"/>
  <c r="F15" i="5" s="1"/>
  <c r="G15" i="5" s="1"/>
  <c r="D14" i="5"/>
  <c r="E14" i="5" s="1"/>
  <c r="F14" i="5" s="1"/>
  <c r="G14" i="5" s="1"/>
  <c r="D13" i="5"/>
  <c r="E13" i="5" s="1"/>
  <c r="F13" i="5" s="1"/>
  <c r="G13" i="5" s="1"/>
  <c r="D12" i="5"/>
  <c r="E12" i="5" s="1"/>
  <c r="F12" i="5" s="1"/>
  <c r="G12" i="5" s="1"/>
  <c r="D11" i="5"/>
  <c r="E11" i="5" s="1"/>
  <c r="F11" i="5" s="1"/>
  <c r="G11" i="5" s="1"/>
  <c r="D10" i="5"/>
  <c r="E10" i="5" s="1"/>
  <c r="F10" i="5" s="1"/>
  <c r="G10" i="5" s="1"/>
  <c r="D9" i="5"/>
  <c r="E9" i="5" s="1"/>
  <c r="F9" i="5" s="1"/>
  <c r="G9" i="5" s="1"/>
  <c r="D8" i="5"/>
  <c r="E8" i="5" s="1"/>
  <c r="F8" i="5" s="1"/>
  <c r="G8" i="5" s="1"/>
  <c r="D7" i="5"/>
  <c r="E7" i="5" s="1"/>
  <c r="F7" i="5" s="1"/>
  <c r="G7" i="5" s="1"/>
  <c r="D6" i="5"/>
  <c r="E6" i="5" s="1"/>
  <c r="F6" i="5" s="1"/>
  <c r="G6" i="5" s="1"/>
  <c r="D5" i="5"/>
  <c r="E5" i="5" s="1"/>
  <c r="F5" i="5" s="1"/>
  <c r="G5" i="5" s="1"/>
  <c r="D4" i="5"/>
  <c r="E4" i="5" s="1"/>
  <c r="F4" i="5" s="1"/>
  <c r="G4" i="5" s="1"/>
  <c r="D3" i="5"/>
  <c r="E3" i="5" s="1"/>
  <c r="F3" i="5" s="1"/>
  <c r="G3" i="5" s="1"/>
  <c r="D2" i="5"/>
  <c r="E2" i="5" s="1"/>
  <c r="F2" i="5" s="1"/>
  <c r="G2" i="5" s="1"/>
</calcChain>
</file>

<file path=xl/sharedStrings.xml><?xml version="1.0" encoding="utf-8"?>
<sst xmlns="http://schemas.openxmlformats.org/spreadsheetml/2006/main" count="153" uniqueCount="134">
  <si>
    <t>Age Group</t>
  </si>
  <si>
    <t>Ethnic Group</t>
  </si>
  <si>
    <t>Deprivation Quintile</t>
  </si>
  <si>
    <t>Number of patients in the cohort</t>
  </si>
  <si>
    <t>Number of inpatient bed days per 1,000 patients in the cohort</t>
  </si>
  <si>
    <t>Project Name</t>
  </si>
  <si>
    <t>Submission Period</t>
  </si>
  <si>
    <t>Project name</t>
  </si>
  <si>
    <t>Month</t>
  </si>
  <si>
    <t>Number of patients on the NNHIP caseload</t>
  </si>
  <si>
    <t>Worksheet</t>
  </si>
  <si>
    <t>Description</t>
  </si>
  <si>
    <t>Metric</t>
  </si>
  <si>
    <t>Demographic factor</t>
  </si>
  <si>
    <t>The metrics need to be split by three demographics factors. These are:</t>
  </si>
  <si>
    <t>Fenland and Peterborough within the North Cambridgeshire and Peterborough Care Partnership</t>
  </si>
  <si>
    <t>Ipswich and East Suffolk</t>
  </si>
  <si>
    <t>North East Essex</t>
  </si>
  <si>
    <t>South and West Hertfordshire (Dacorum and Hertsmere)</t>
  </si>
  <si>
    <t>West Essex</t>
  </si>
  <si>
    <t>West Suffolk</t>
  </si>
  <si>
    <t>Barking and Dagenham</t>
  </si>
  <si>
    <t>Croydon</t>
  </si>
  <si>
    <t>Hillingdon</t>
  </si>
  <si>
    <t>Kensington, Chelsea and Westminster (Bi-Borough)</t>
  </si>
  <si>
    <t>Lambeth and Southwark</t>
  </si>
  <si>
    <t>Coventry</t>
  </si>
  <si>
    <t>East Birmingham</t>
  </si>
  <si>
    <t>Herefordshire</t>
  </si>
  <si>
    <t>Leicestershire (West)</t>
  </si>
  <si>
    <t>Nottingham City</t>
  </si>
  <si>
    <t>Shropshire</t>
  </si>
  <si>
    <t>Solihull</t>
  </si>
  <si>
    <t>Walsall</t>
  </si>
  <si>
    <t>Bradford and Craven (Bradford South, Keighley and Airedale)</t>
  </si>
  <si>
    <t>Doncaster</t>
  </si>
  <si>
    <t>Leeds (Hatch, South, East)</t>
  </si>
  <si>
    <t>North East Lincolnshire</t>
  </si>
  <si>
    <t>Rotherham</t>
  </si>
  <si>
    <t>Stockton</t>
  </si>
  <si>
    <t>Sunderland</t>
  </si>
  <si>
    <t>Wakefield</t>
  </si>
  <si>
    <t>Blackburn and Darwen</t>
  </si>
  <si>
    <t>Morecambe Bay</t>
  </si>
  <si>
    <t>Rochdale</t>
  </si>
  <si>
    <t>Sefton</t>
  </si>
  <si>
    <t>St Helens</t>
  </si>
  <si>
    <t>Stockport</t>
  </si>
  <si>
    <t>Buckinghamshire (North, High Wycombe, Marlow Beaconsfield)</t>
  </si>
  <si>
    <t>East Berkshire and Slough</t>
  </si>
  <si>
    <t>East Kent</t>
  </si>
  <si>
    <t>East Surrey (Surrey Downs)</t>
  </si>
  <si>
    <t>East Sussex (Hastings and Rother)</t>
  </si>
  <si>
    <t>Portsmouth</t>
  </si>
  <si>
    <t>Bristol (South Bristol)</t>
  </si>
  <si>
    <t>Cornwall and The Isles Of Scilly</t>
  </si>
  <si>
    <t xml:space="preserve">Dorset Place </t>
  </si>
  <si>
    <t>Woodspring</t>
  </si>
  <si>
    <t>Collects the data for you local NNHIP cohort for the current reporting month</t>
  </si>
  <si>
    <t>Ten year age groups based on the persons age at the time of intervention</t>
  </si>
  <si>
    <t>Broad ethnic groups based on the persons recorded ethnic group at the time of intervention</t>
  </si>
  <si>
    <t>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t>
  </si>
  <si>
    <t>Number of inpatient bed days</t>
  </si>
  <si>
    <t>Number of ambulance conveyances</t>
  </si>
  <si>
    <t>Number of A&amp;E attendances</t>
  </si>
  <si>
    <t>Number of general practice appointments</t>
  </si>
  <si>
    <t xml:space="preserve">Number of active cases the Place is actively working with during the month. This should not be the whole NNHIP cohort. </t>
  </si>
  <si>
    <t>Please select your project and the current submission period before completing the other templates from the lookups below:</t>
  </si>
  <si>
    <t>NNHIP Data Collection Template</t>
  </si>
  <si>
    <t>Number of patients that have been identified as meeting the criteria based on your local definition</t>
  </si>
  <si>
    <t>Reporting period start</t>
  </si>
  <si>
    <t>Reporting period end</t>
  </si>
  <si>
    <t>Initial submission date</t>
  </si>
  <si>
    <t>Initial report due</t>
  </si>
  <si>
    <t>Data second submission date</t>
  </si>
  <si>
    <t>Final report date</t>
  </si>
  <si>
    <t>Number of appointments in general practice and Primary Care Networks per 1,000 patients in the cohort</t>
  </si>
  <si>
    <t>Number of Community Care Contacts attended per 1,000 patients in the cohort</t>
  </si>
  <si>
    <t>Number of new consultant-led outpatient appointments  per 1,000 patients in the cohort</t>
  </si>
  <si>
    <t>Number of  consultant-led outpatient procedures   per 1,000 patients in the cohort</t>
  </si>
  <si>
    <t>Number of follow up consultant-led outpatient appointments  per 1,000 patients in the cohort</t>
  </si>
  <si>
    <t>Number of specific acute non-elective spells in the period with a length of stay of zero days per 1,000 patients in the cohort</t>
  </si>
  <si>
    <t>Number of category 1 ambulance conveyances per 1,000 patients in the cohort</t>
  </si>
  <si>
    <t>Number of category 2 ambulance conveyances per 1,000 patients in the cohort</t>
  </si>
  <si>
    <t>Number of category 3 ambulance conveyances per 1,000 patients in the cohort</t>
  </si>
  <si>
    <t>Number of category 4 ambulance conveyances per 1,000 patients in the cohort</t>
  </si>
  <si>
    <t>The National Neighbourhood Health Implementation Programme (NNHIP), through extensive stakeholder engagement, has agreed an holistic suite of goals for neighbourhood working and a ‘balanced scorecard’ to measure outcomes. The aim is to support all Places to adopt a common approach (for within programme comparisons) and to be able to compare programme participants to non- participants (controls) in as many Places as possible.
The data collection template captures all the aggregate data required each month for the national submission. The yellow cells below and in the tabs Submission Template should be completed by each Place every month. The submission timetable is shown in the 'SubmissionTimetable' tab. A more detailed description of the data collection and submission process can be found in the NNHIP Measurement Guide.
More detail on the requirements are shown below.</t>
  </si>
  <si>
    <t>SubmissionTemplate</t>
  </si>
  <si>
    <t>There is one worksheet to complete to collect data for the NNHIP cohort. The worksheets are:</t>
  </si>
  <si>
    <t>Numerator</t>
  </si>
  <si>
    <t>Denominator</t>
  </si>
  <si>
    <t>Number of specific acute non-elective spells in the period with a length of stay of one or more days</t>
  </si>
  <si>
    <r>
      <rPr>
        <b/>
        <sz val="11"/>
        <color theme="1"/>
        <rFont val="Aptos"/>
        <family val="2"/>
      </rPr>
      <t xml:space="preserve">Definition: </t>
    </r>
    <r>
      <rPr>
        <sz val="11"/>
        <color theme="1"/>
        <rFont val="Aptos"/>
        <family val="2"/>
      </rPr>
      <t xml:space="preserve">Number of patients in the cohort (defined locally)
</t>
    </r>
    <r>
      <rPr>
        <b/>
        <sz val="11"/>
        <color theme="1"/>
        <rFont val="Aptos"/>
        <family val="2"/>
      </rPr>
      <t>Source:</t>
    </r>
    <r>
      <rPr>
        <sz val="11"/>
        <color theme="1"/>
        <rFont val="Aptos"/>
        <family val="2"/>
      </rPr>
      <t xml:space="preserve"> Local NNHIP data collection</t>
    </r>
  </si>
  <si>
    <t>Number of A&amp;E attendances at a type 1 department per 1,000 patients in the cohort</t>
  </si>
  <si>
    <t>Number of A&amp;E attendances at an other type department per 1,000 patients in the cohort</t>
  </si>
  <si>
    <t>1. Inpatient spells</t>
  </si>
  <si>
    <r>
      <t xml:space="preserve">A spell is defined as a continuous period of admitted patient care within one healthcare provider, for a single patient. Spells are comprised of one or more episodes of care, which are continuous periods under one consultant. Spells are counted in each data table </t>
    </r>
    <r>
      <rPr>
        <sz val="11"/>
        <rFont val="Aptos Narrow"/>
        <family val="2"/>
        <scheme val="minor"/>
      </rPr>
      <t>a</t>
    </r>
    <r>
      <rPr>
        <sz val="11"/>
        <color theme="1"/>
        <rFont val="Aptos Narrow"/>
        <family val="2"/>
        <scheme val="minor"/>
      </rPr>
      <t>gainst the month and year in which they ended. The activity counts do not necessarily represent a count of distinct patients, as it is possible for a person to be admitted more than once within the same period.</t>
    </r>
  </si>
  <si>
    <t>2. Emergency admissions / non-elective spells</t>
  </si>
  <si>
    <t xml:space="preserve">The admission method, which is a code to identify how the patient was admitted to hospital, has been used to restrict each data table to emergency and non-elective admissions (referred to as non-elective spells). These are admissions which are unpredictable and which occur at short notice because of clinical need. The following codes are included:
Emergency Admission, when admission is unpredictable and at short notice because of clinical need: 
21 = Emergency Care Department or acute or emergency dental service
22 = General Practitioner:  after a request for immediate admission has been made direct to a Hospital Provider, i.e. not through a Bed bureau, by a GP or deputy
23 = Bed bureau 
24 = Consultant Clinic, of this or another Health Care Provider  
25 = Admission via Mental Health Crisis Resolution Team (available from 2013/14)
2A = Emergency Care Department of another provider where the patient had not been admitted (available from 2013/14)
2B = Transfer of an admitted patient from another Hospital Provider in an emergency (available from 2013/14)
2C = Baby born at home as intended (available from 2013/14)
2D = Other emergency admission (available from 2013/14)
28 = Other means, examples are:
- admitted from the Accident and Emergency Department of another provider where they had not been admitted
- transfer of an admitted PATIENT from another Hospital Provider in an emergency
- baby born at home as intended (retired on 2022-23)
Maternity Admission, of a pregnant or recently pregnant woman to a maternity ward (including delivery facilities) except when the intention is to terminate the pregnancy:
31 = Admitted ante-partum 
32 = Admitted post-partum 
</t>
  </si>
  <si>
    <t>Other Admission not specified above:
82 = The birth of a baby in this Health Care Provider  
83 = Baby born outside the Health Care Provider except when born at home as intended. 
81 = Transfer of any admitted patient from other Hospital Provider other than in an emergency
84 = Admission by Admissions Panel of a High Security Psychiatric Hospital, patient not entered on the HSPH Admissions Waiting List (available between 1999 and 2006)
89 = HSPH Admissions Waiting List of a High Security Psychiatric Hospital (available between 1999 and 2006)</t>
  </si>
  <si>
    <t>3. Specific Acute treatment functions</t>
  </si>
  <si>
    <t xml:space="preserve">To align with NHS planning definitions and aid use of the extract for delivery of the BCF, each data table has been restricted to activity for specific acute treatment functions, based on the last episode in each spell. Specific acute care is for patients that need specialist support and treatment which cannot be provided in the community during an acute stage of their illness. It is usually provided within a hospital and includes services such as inpatient and outpatient medicine and surgery. Maternity, Mental Health and Learning Disabilities are categorised separately.
</t>
  </si>
  <si>
    <t>Specific acute services were defined in the NHS England 2023/24 priorities and operational guidance by treatment function code (opens new browser window).</t>
  </si>
  <si>
    <t>4. Length of stay</t>
  </si>
  <si>
    <t>Each data table has been restricted to inpatient spells with a length of stay (the difference between the admission date and the discharge date) of at least 1 day. Zero-day spells have been deliberately excluded so as to avoid distortions associated with reclassification of Same Day Emergency Care (SDEC) cases as type 5 attendances in the ECDS collection.</t>
  </si>
  <si>
    <r>
      <rPr>
        <b/>
        <sz val="11"/>
        <color theme="1"/>
        <rFont val="Aptos"/>
        <family val="2"/>
      </rPr>
      <t>Definition:</t>
    </r>
    <r>
      <rPr>
        <sz val="11"/>
        <color theme="1"/>
        <rFont val="Aptos"/>
        <family val="2"/>
      </rPr>
      <t xml:space="preserve"> Count of A&amp;E attendances in the month where EMERGENCY CARE DEPARTMENT TYPE &lt;&gt; 01 for patients is in the NNHIP cohort
</t>
    </r>
    <r>
      <rPr>
        <b/>
        <sz val="11"/>
        <color theme="1"/>
        <rFont val="Aptos"/>
        <family val="2"/>
      </rPr>
      <t>Source:</t>
    </r>
    <r>
      <rPr>
        <sz val="11"/>
        <color theme="1"/>
        <rFont val="Aptos"/>
        <family val="2"/>
      </rPr>
      <t xml:space="preserve"> ECDS</t>
    </r>
  </si>
  <si>
    <t>Number of consultant-led outpatient appointments (new, follow up and outpatient procedures) per 1,000 patients in the cohort (source: SUS Outpatients)</t>
  </si>
  <si>
    <t>Number of outpatient appointments (new, follow up and outpatient procedures)</t>
  </si>
  <si>
    <t>Number of specific acute non-elective spells in the period with a length of stay of zero days per 1,000 patients in the cohort (source: SUS Inpatients)</t>
  </si>
  <si>
    <t>Number of specific acute non-elective spells in the period with a length of stay of one or more days per 1,000 patients in the cohort (source: SUS Inpatients)</t>
  </si>
  <si>
    <t>Number of emergency admissions (1 or days LOS)</t>
  </si>
  <si>
    <t>Number of emergency admissions (0 days LOS)</t>
  </si>
  <si>
    <t>Number of inpatient bed days per 1,000 patients in the cohort (source: SUS Inpatients)</t>
  </si>
  <si>
    <t>Number of A&amp;E attendances (Type 1 and Other types) per 1,000 patients in the cohort  (source: ECDS)</t>
  </si>
  <si>
    <t>Number of appointments in general practice and Primary Care Networks per 1,000 patients in the cohort (source: primary care systems)</t>
  </si>
  <si>
    <t>Number of Community Care Contacts attended per 1,000 patients in the cohort (source: CSDS)</t>
  </si>
  <si>
    <t>Number of Community Care Contacts</t>
  </si>
  <si>
    <t>Number of ambulance conveyances to hospital per category for patients in the local NNHIP cohort during the month per 1,000 patients in the cohort (source: ECDS)</t>
  </si>
  <si>
    <t>The metrics collected for the NNHIP cohort  are:</t>
  </si>
  <si>
    <t>Detailed definitions of the NNHIP metrics can be for in the Definitions tab.</t>
  </si>
  <si>
    <r>
      <rPr>
        <b/>
        <sz val="11"/>
        <color theme="1"/>
        <rFont val="Aptos"/>
        <family val="2"/>
      </rPr>
      <t>Definition:</t>
    </r>
    <r>
      <rPr>
        <sz val="11"/>
        <color theme="1"/>
        <rFont val="Aptos"/>
        <family val="2"/>
      </rPr>
      <t xml:space="preserve"> Count of A&amp;E attendances in the month where EMERGENCY CARE DEPARTMENT TYPE = 01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</si>
  <si>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'1077241000000103'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</si>
  <si>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'1064901000000108'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</si>
  <si>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'1064911000000105'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</si>
  <si>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'1064891000000107'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</si>
  <si>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Sum of inpatient bed days completed inpatient spells where Admission Method Code and Treatment Function Code meet the national definition set out in the AcuteNonElectiveDefs worksheet is in list  for patients in the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</si>
  <si>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care contacts where cyp201carecontact.Unique_MonthID = 'Unique_MonthID' and
cyp201carecontact.Contact_Date between  'ReportingStartDate' and 'ReportingEndDate' for patients in the NNHIP cohort
</t>
    </r>
    <r>
      <rPr>
        <b/>
        <sz val="11"/>
        <color theme="1"/>
        <rFont val="Aptos"/>
        <family val="2"/>
      </rPr>
      <t>Source:</t>
    </r>
    <r>
      <rPr>
        <sz val="11"/>
        <color theme="1"/>
        <rFont val="Aptos"/>
        <family val="2"/>
      </rPr>
      <t xml:space="preserve"> CSDS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</si>
  <si>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1 OR 3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</si>
  <si>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</si>
  <si>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general practice and PCN appointments where Appointment Status = 'Attended',  SDS Role Group = 'GP' and Service Setting in ('General Practice', 'Primary Care Network')
</t>
    </r>
    <r>
      <rPr>
        <b/>
        <sz val="11"/>
        <color theme="1"/>
        <rFont val="Aptos"/>
        <family val="2"/>
      </rPr>
      <t>Source:</t>
    </r>
    <r>
      <rPr>
        <sz val="11"/>
        <color theme="1"/>
        <rFont val="Aptos"/>
        <family val="2"/>
      </rPr>
      <t xml:space="preserve"> Local primary care systems for patients in the NNHIP cohort</t>
    </r>
  </si>
  <si>
    <r>
      <rPr>
        <b/>
        <sz val="11"/>
        <color theme="1"/>
        <rFont val="Aptos"/>
        <family val="2"/>
      </rPr>
      <t>Definition:</t>
    </r>
    <r>
      <rPr>
        <sz val="11"/>
        <color theme="1"/>
        <rFont val="Aptos"/>
        <family val="2"/>
      </rPr>
      <t xml:space="preserve"> Count of active cases the Place is actively working with during the month. This should not be the whole NNHIP cohort. 
</t>
    </r>
    <r>
      <rPr>
        <b/>
        <sz val="11"/>
        <color theme="1"/>
        <rFont val="Aptos"/>
        <family val="2"/>
      </rPr>
      <t xml:space="preserve">Source: </t>
    </r>
    <r>
      <rPr>
        <sz val="11"/>
        <color theme="1"/>
        <rFont val="Aptos"/>
        <family val="2"/>
      </rPr>
      <t>Local NNHIP data collection</t>
    </r>
  </si>
  <si>
    <r>
      <rPr>
        <b/>
        <sz val="11"/>
        <color theme="1"/>
        <rFont val="Aptos"/>
        <family val="2"/>
      </rPr>
      <t>Definition:</t>
    </r>
    <r>
      <rPr>
        <sz val="11"/>
        <color theme="1"/>
        <rFont val="Aptos"/>
        <family val="2"/>
      </rPr>
      <t xml:space="preserve"> Count of completed inpatient spells where length of stay (Discharge Date - Admission Date) &gt;= 1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</si>
  <si>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completed inpatient spells where length of stay (Discharge Date - Admission Date) = 0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</si>
  <si>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ATTENDED OR DID NOT ATTEND CODE equal to 5 OR 6 and PRIMARY PROCEDURE (OPCS) IS NOT NULL for patients in the NNHIP cohort
</t>
    </r>
    <r>
      <rPr>
        <b/>
        <sz val="11"/>
        <color theme="1"/>
        <rFont val="Aptos"/>
        <family val="2"/>
      </rPr>
      <t>Source:</t>
    </r>
    <r>
      <rPr>
        <sz val="11"/>
        <color theme="1"/>
        <rFont val="Aptos"/>
        <family val="2"/>
      </rPr>
      <t xml:space="preserve"> SUS Outpatients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</si>
</sst>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2" x14ac:knownFonts="1">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i/>
      <sz val="10"/>
      <color theme="1"/>
      <name val="Aptos Narrow"/>
      <family val="2"/>
      <scheme val="minor"/>
    </font>
    <font>
      <u/>
      <sz val="11"/>
      <color theme="10"/>
      <name val="Aptos Narrow"/>
      <family val="2"/>
      <scheme val="minor"/>
    </font>
    <font>
      <b/>
      <sz val="14"/>
      <color theme="1"/>
      <name val="Aptos Narrow"/>
      <family val="2"/>
      <scheme val="minor"/>
    </font>
    <font>
      <sz val="11"/>
      <color theme="1"/>
      <name val="Aptos Narrow"/>
      <family val="2"/>
      <scheme val="minor"/>
    </font>
    <font>
      <sz val="11"/>
      <color theme="1"/>
      <name val="Aptos"/>
      <family val="2"/>
    </font>
    <font>
      <b/>
      <sz val="11"/>
      <color theme="1"/>
      <name val="Aptos"/>
      <family val="2"/>
    </font>
    <font>
      <sz val="12"/>
      <color theme="1"/>
      <name val="Arial"/>
      <family val="2"/>
    </font>
    <font>
      <sz val="11"/>
      <name val="Aptos Narrow"/>
      <family val="2"/>
      <scheme val="minor"/>
    </font>
  </fonts>
  <fills count="9">
    <fill>
      <patternFill patternType="none"/>
    </fill>
    <fill>
      <patternFill patternType="gray125"/>
    </fill>
    <fill>
      <patternFill patternType="solid">
        <fgColor theme="4"/>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rgb="FF0070C0"/>
        <bgColor indexed="64"/>
      </patternFill>
    </fill>
    <fill>
      <patternFill patternType="solid">
        <fgColor theme="0" tint="-0.14999847407452621"/>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0" borderId="0" applyNumberFormat="0" applyFill="0" applyBorder="0" applyAlignment="0" applyProtection="0"/>
    <xf numFmtId="0" fontId="10" fillId="0" borderId="0"/>
    <xf numFmtId="43" fontId="7" fillId="0" borderId="0" applyFont="0" applyFill="0" applyBorder="0" applyAlignment="0" applyProtection="0"/>
  </cellStyleXfs>
  <cellXfs count="31">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0" fontId="4" fillId="3" borderId="0" xfId="0" applyFont="1" applyFill="1" applyAlignment="1">
      <alignment horizontal="right"/>
    </xf>
    <xf numFmtId="17" fontId="0" fillId="0" borderId="0" xfId="0" applyNumberFormat="1"/>
    <xf numFmtId="0" fontId="0" fillId="4" borderId="1" xfId="0" applyFill="1" applyBorder="1" applyAlignment="1">
      <alignment wrapText="1"/>
    </xf>
    <xf numFmtId="0" fontId="2" fillId="0" borderId="0" xfId="0" applyFont="1" applyAlignment="1">
      <alignment horizontal="center"/>
    </xf>
    <xf numFmtId="0" fontId="5" fillId="0" borderId="1" xfId="1" applyBorder="1" applyAlignment="1">
      <alignment wrapText="1"/>
    </xf>
    <xf numFmtId="0" fontId="1" fillId="2" borderId="1" xfId="0" applyFont="1" applyFill="1" applyBorder="1" applyAlignment="1">
      <alignment horizontal="center" wrapText="1"/>
    </xf>
    <xf numFmtId="17" fontId="0" fillId="0" borderId="1" xfId="0" applyNumberFormat="1" applyBorder="1" applyAlignment="1">
      <alignment horizontal="left"/>
    </xf>
    <xf numFmtId="14" fontId="0" fillId="0" borderId="1" xfId="0" applyNumberFormat="1" applyBorder="1"/>
    <xf numFmtId="0" fontId="1" fillId="6" borderId="1" xfId="0" applyFont="1" applyFill="1" applyBorder="1" applyAlignment="1">
      <alignment horizontal="center"/>
    </xf>
    <xf numFmtId="0" fontId="9" fillId="0" borderId="1" xfId="0" applyFont="1" applyBorder="1" applyAlignment="1">
      <alignment vertical="center" wrapText="1"/>
    </xf>
    <xf numFmtId="0" fontId="8" fillId="0" borderId="1" xfId="0" applyFont="1" applyBorder="1" applyAlignment="1">
      <alignment vertical="center" wrapText="1"/>
    </xf>
    <xf numFmtId="0" fontId="8" fillId="8" borderId="1" xfId="0" applyFont="1" applyFill="1" applyBorder="1" applyAlignment="1">
      <alignment vertical="center" wrapText="1"/>
    </xf>
    <xf numFmtId="0" fontId="6" fillId="0" borderId="0" xfId="0" applyFont="1" applyAlignment="1">
      <alignment horizontal="center"/>
    </xf>
    <xf numFmtId="0" fontId="0" fillId="0" borderId="0" xfId="0" applyAlignment="1">
      <alignment wrapText="1"/>
    </xf>
    <xf numFmtId="0" fontId="1" fillId="6" borderId="1" xfId="0" applyFont="1" applyFill="1" applyBorder="1" applyAlignment="1">
      <alignment horizontal="center"/>
    </xf>
    <xf numFmtId="0" fontId="0" fillId="0" borderId="1" xfId="0" applyBorder="1" applyAlignment="1">
      <alignment wrapText="1"/>
    </xf>
    <xf numFmtId="0" fontId="0" fillId="0" borderId="0" xfId="0" applyAlignment="1">
      <alignment horizontal="left" vertical="top" wrapText="1"/>
    </xf>
    <xf numFmtId="0" fontId="0" fillId="5" borderId="1" xfId="0" applyFill="1" applyBorder="1" applyAlignment="1">
      <alignment horizontal="left" wrapText="1"/>
    </xf>
    <xf numFmtId="0" fontId="0" fillId="5" borderId="1" xfId="0" applyFill="1" applyBorder="1" applyAlignment="1">
      <alignment wrapText="1"/>
    </xf>
    <xf numFmtId="0" fontId="5" fillId="0" borderId="1" xfId="1" applyBorder="1" applyAlignment="1">
      <alignment wrapText="1"/>
    </xf>
    <xf numFmtId="0" fontId="0" fillId="4" borderId="1" xfId="0" applyFill="1" applyBorder="1" applyAlignment="1">
      <alignment wrapText="1"/>
    </xf>
    <xf numFmtId="0" fontId="0" fillId="4" borderId="0" xfId="0" applyFill="1" applyAlignment="1">
      <alignment wrapText="1"/>
    </xf>
    <xf numFmtId="0" fontId="0" fillId="0" borderId="0" xfId="0"/>
    <xf numFmtId="0" fontId="2" fillId="7" borderId="0" xfId="2" applyFont="1" applyFill="1" applyAlignment="1">
      <alignment horizontal="left" vertical="top"/>
    </xf>
    <xf numFmtId="0" fontId="7" fillId="0" borderId="0" xfId="2" applyFont="1" applyAlignment="1">
      <alignment horizontal="left" vertical="top" wrapText="1"/>
    </xf>
    <xf numFmtId="0" fontId="0" fillId="0" borderId="0" xfId="2" applyFont="1" applyAlignment="1">
      <alignment horizontal="left" vertical="top" wrapText="1"/>
    </xf>
    <xf numFmtId="0" fontId="5" fillId="0" borderId="0" xfId="1" applyAlignment="1">
      <alignment horizontal="left" vertical="top" wrapText="1"/>
    </xf>
  </cellXfs>
  <cellStyles count="4">
    <cellStyle name="Comma 2" xfId="3" xr:uid="{878653F0-393B-4BEC-8FDF-A5411F76E473}"/>
    <cellStyle name="Hyperlink" xfId="1" builtinId="8"/>
    <cellStyle name="Normal" xfId="0" builtinId="0"/>
    <cellStyle name="Normal 2" xfId="2" xr:uid="{48D9A6B4-9A3C-4B5E-9F37-69CA653E01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s/english-indices-of-deprivation-2019"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england.nhs.uk/statistics/wp-content/uploads/sites/2/2023/12/Specific_Acute_TFC.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0C98-FF3B-4C33-B413-5609F015A2DE}">
  <dimension ref="A1:C35"/>
  <sheetViews>
    <sheetView tabSelected="1" zoomScale="130" zoomScaleNormal="130" workbookViewId="0">
      <selection activeCell="A9" sqref="A9:C9"/>
    </sheetView>
  </sheetViews>
  <sheetFormatPr defaultRowHeight="15" x14ac:dyDescent="0.25"/>
  <cols>
    <col min="1" max="1" width="28.7109375" customWidth="1"/>
    <col min="2" max="3" width="36.85546875" customWidth="1"/>
  </cols>
  <sheetData>
    <row r="1" spans="1:3" ht="18.75" x14ac:dyDescent="0.3">
      <c r="A1" s="16" t="s">
        <v>68</v>
      </c>
      <c r="B1" s="16"/>
      <c r="C1" s="16"/>
    </row>
    <row r="2" spans="1:3" x14ac:dyDescent="0.25">
      <c r="A2" s="7"/>
      <c r="B2" s="7"/>
      <c r="C2" s="7"/>
    </row>
    <row r="3" spans="1:3" ht="135" customHeight="1" x14ac:dyDescent="0.25">
      <c r="A3" s="20" t="s">
        <v>86</v>
      </c>
      <c r="B3" s="20"/>
      <c r="C3" s="20"/>
    </row>
    <row r="5" spans="1:3" x14ac:dyDescent="0.25">
      <c r="A5" t="s">
        <v>67</v>
      </c>
    </row>
    <row r="6" spans="1:3" x14ac:dyDescent="0.25">
      <c r="A6" s="4" t="s">
        <v>5</v>
      </c>
      <c r="B6" s="21" t="s">
        <v>20</v>
      </c>
      <c r="C6" s="22"/>
    </row>
    <row r="7" spans="1:3" x14ac:dyDescent="0.25">
      <c r="A7" s="4" t="s">
        <v>6</v>
      </c>
      <c r="B7" s="21">
        <v>46023</v>
      </c>
      <c r="C7" s="22"/>
    </row>
    <row r="9" spans="1:3" x14ac:dyDescent="0.25">
      <c r="A9" s="17" t="s">
        <v>88</v>
      </c>
      <c r="B9" s="17"/>
      <c r="C9" s="17"/>
    </row>
    <row r="11" spans="1:3" x14ac:dyDescent="0.25">
      <c r="A11" s="12" t="s">
        <v>10</v>
      </c>
      <c r="B11" s="18" t="s">
        <v>11</v>
      </c>
      <c r="C11" s="18"/>
    </row>
    <row r="12" spans="1:3" x14ac:dyDescent="0.25">
      <c r="A12" s="8" t="s">
        <v>87</v>
      </c>
      <c r="B12" s="19" t="s">
        <v>58</v>
      </c>
      <c r="C12" s="19"/>
    </row>
    <row r="14" spans="1:3" x14ac:dyDescent="0.25">
      <c r="A14" t="s">
        <v>118</v>
      </c>
    </row>
    <row r="16" spans="1:3" x14ac:dyDescent="0.25">
      <c r="A16" s="12" t="s">
        <v>12</v>
      </c>
      <c r="B16" s="18" t="s">
        <v>11</v>
      </c>
      <c r="C16" s="18"/>
    </row>
    <row r="17" spans="1:3" ht="45" x14ac:dyDescent="0.25">
      <c r="A17" s="6" t="s">
        <v>107</v>
      </c>
      <c r="B17" s="24" t="s">
        <v>106</v>
      </c>
      <c r="C17" s="24"/>
    </row>
    <row r="18" spans="1:3" ht="30" x14ac:dyDescent="0.25">
      <c r="A18" s="6" t="s">
        <v>111</v>
      </c>
      <c r="B18" s="24" t="s">
        <v>108</v>
      </c>
      <c r="C18" s="24"/>
    </row>
    <row r="19" spans="1:3" ht="30" x14ac:dyDescent="0.25">
      <c r="A19" s="6" t="s">
        <v>110</v>
      </c>
      <c r="B19" s="24" t="s">
        <v>109</v>
      </c>
      <c r="C19" s="24"/>
    </row>
    <row r="20" spans="1:3" x14ac:dyDescent="0.25">
      <c r="A20" s="6" t="s">
        <v>62</v>
      </c>
      <c r="B20" s="24" t="s">
        <v>112</v>
      </c>
      <c r="C20" s="24"/>
    </row>
    <row r="21" spans="1:3" ht="30" x14ac:dyDescent="0.25">
      <c r="A21" s="6" t="s">
        <v>63</v>
      </c>
      <c r="B21" s="24" t="s">
        <v>117</v>
      </c>
      <c r="C21" s="24"/>
    </row>
    <row r="22" spans="1:3" ht="35.450000000000003" customHeight="1" x14ac:dyDescent="0.25">
      <c r="A22" s="6" t="s">
        <v>64</v>
      </c>
      <c r="B22" s="24" t="s">
        <v>113</v>
      </c>
      <c r="C22" s="24"/>
    </row>
    <row r="23" spans="1:3" ht="30" x14ac:dyDescent="0.25">
      <c r="A23" s="6" t="s">
        <v>65</v>
      </c>
      <c r="B23" s="24" t="s">
        <v>114</v>
      </c>
      <c r="C23" s="24"/>
    </row>
    <row r="24" spans="1:3" ht="30" x14ac:dyDescent="0.25">
      <c r="A24" s="6" t="s">
        <v>116</v>
      </c>
      <c r="B24" s="24" t="s">
        <v>115</v>
      </c>
      <c r="C24" s="24"/>
    </row>
    <row r="25" spans="1:3" ht="30" x14ac:dyDescent="0.25">
      <c r="A25" s="6" t="s">
        <v>3</v>
      </c>
      <c r="B25" s="24" t="s">
        <v>69</v>
      </c>
      <c r="C25" s="24"/>
    </row>
    <row r="26" spans="1:3" ht="30" x14ac:dyDescent="0.25">
      <c r="A26" s="3" t="s">
        <v>9</v>
      </c>
      <c r="B26" s="19" t="s">
        <v>66</v>
      </c>
      <c r="C26" s="19"/>
    </row>
    <row r="27" spans="1:3" x14ac:dyDescent="0.25">
      <c r="A27" s="1"/>
      <c r="B27" s="1"/>
      <c r="C27" s="1"/>
    </row>
    <row r="28" spans="1:3" x14ac:dyDescent="0.25">
      <c r="A28" s="25" t="s">
        <v>119</v>
      </c>
      <c r="B28" s="26"/>
      <c r="C28" s="26"/>
    </row>
    <row r="30" spans="1:3" x14ac:dyDescent="0.25">
      <c r="A30" t="s">
        <v>14</v>
      </c>
    </row>
    <row r="32" spans="1:3" x14ac:dyDescent="0.25">
      <c r="A32" s="12" t="s">
        <v>13</v>
      </c>
      <c r="B32" s="18" t="s">
        <v>11</v>
      </c>
      <c r="C32" s="18"/>
    </row>
    <row r="33" spans="1:3" x14ac:dyDescent="0.25">
      <c r="A33" s="2" t="s">
        <v>0</v>
      </c>
      <c r="B33" s="19" t="s">
        <v>59</v>
      </c>
      <c r="C33" s="19"/>
    </row>
    <row r="34" spans="1:3" x14ac:dyDescent="0.25">
      <c r="A34" s="2" t="s">
        <v>1</v>
      </c>
      <c r="B34" s="19" t="s">
        <v>60</v>
      </c>
      <c r="C34" s="19"/>
    </row>
    <row r="35" spans="1:3" x14ac:dyDescent="0.25">
      <c r="A35" s="2" t="s">
        <v>2</v>
      </c>
      <c r="B35" s="23" t="s">
        <v>61</v>
      </c>
      <c r="C35" s="23"/>
    </row>
  </sheetData>
  <mergeCells count="23">
    <mergeCell ref="B16:C16"/>
    <mergeCell ref="B32:C32"/>
    <mergeCell ref="B33:C33"/>
    <mergeCell ref="B34:C34"/>
    <mergeCell ref="B19:C19"/>
    <mergeCell ref="B24:C24"/>
    <mergeCell ref="B35:C35"/>
    <mergeCell ref="B25:C25"/>
    <mergeCell ref="B26:C26"/>
    <mergeCell ref="B17:C17"/>
    <mergeCell ref="B18:C18"/>
    <mergeCell ref="B20:C20"/>
    <mergeCell ref="B21:C21"/>
    <mergeCell ref="B22:C22"/>
    <mergeCell ref="B23:C23"/>
    <mergeCell ref="A28:C28"/>
    <mergeCell ref="A1:C1"/>
    <mergeCell ref="A9:C9"/>
    <mergeCell ref="B11:C11"/>
    <mergeCell ref="B12:C12"/>
    <mergeCell ref="A3:C3"/>
    <mergeCell ref="B6:C6"/>
    <mergeCell ref="B7:C7"/>
  </mergeCells>
  <hyperlinks>
    <hyperlink ref="A12" location="SubmissionTemplate!A1" display="SubmissionTemplate" xr:uid="{DA5DF8CA-1062-49CB-90F8-CB6FFDD308BC}"/>
    <hyperlink ref="B35:C35" r:id="rId1" display="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 xr:uid="{9E828A13-40BC-4FCB-8317-A4213E48CD54}"/>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F09A9B4-3E20-4ECA-BE7B-F02075C9A4AF}">
          <x14:formula1>
            <xm:f>Lookups!$A$2:$A$44</xm:f>
          </x14:formula1>
          <xm:sqref>B6</xm:sqref>
        </x14:dataValidation>
        <x14:dataValidation type="list" allowBlank="1" showInputMessage="1" showErrorMessage="1" xr:uid="{B759B23D-0BDF-4626-B941-1F6E5444DACF}">
          <x14:formula1>
            <xm:f>Lookups!$C$2:$C$36</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D21A3-67E4-4194-A78C-F65B0DBF51C1}">
  <dimension ref="A1:G16"/>
  <sheetViews>
    <sheetView workbookViewId="0">
      <selection activeCell="E34" sqref="E34"/>
    </sheetView>
  </sheetViews>
  <sheetFormatPr defaultRowHeight="15" x14ac:dyDescent="0.25"/>
  <cols>
    <col min="1" max="1" width="6.85546875" bestFit="1" customWidth="1"/>
    <col min="2" max="4" width="17.140625" customWidth="1"/>
    <col min="5" max="5" width="11.5703125" bestFit="1" customWidth="1"/>
    <col min="6" max="6" width="15.28515625" bestFit="1" customWidth="1"/>
    <col min="7" max="7" width="12" customWidth="1"/>
  </cols>
  <sheetData>
    <row r="1" spans="1:7" ht="45" x14ac:dyDescent="0.25">
      <c r="A1" s="9" t="s">
        <v>8</v>
      </c>
      <c r="B1" s="9" t="s">
        <v>70</v>
      </c>
      <c r="C1" s="9" t="s">
        <v>71</v>
      </c>
      <c r="D1" s="9" t="s">
        <v>72</v>
      </c>
      <c r="E1" s="9" t="s">
        <v>73</v>
      </c>
      <c r="F1" s="9" t="s">
        <v>74</v>
      </c>
      <c r="G1" s="9" t="s">
        <v>75</v>
      </c>
    </row>
    <row r="2" spans="1:7" x14ac:dyDescent="0.25">
      <c r="A2" s="10">
        <v>46023</v>
      </c>
      <c r="B2" s="11">
        <v>46023</v>
      </c>
      <c r="C2" s="11">
        <v>46053</v>
      </c>
      <c r="D2" s="11">
        <f t="shared" ref="D2:D16" si="0">IF(WEEKDAY(C2+(7*8))=7,C2+(7*8)-1,IF(WEEKDAY(C2+(7*8))=1,C2+(7*8)-2,C2+(7*8)))</f>
        <v>46108</v>
      </c>
      <c r="E2" s="11">
        <f t="shared" ref="E2:E16" si="1">D2+7</f>
        <v>46115</v>
      </c>
      <c r="F2" s="11">
        <f t="shared" ref="F2:F16" si="2">E2</f>
        <v>46115</v>
      </c>
      <c r="G2" s="11">
        <f t="shared" ref="G2:G16" si="3">F2+7</f>
        <v>46122</v>
      </c>
    </row>
    <row r="3" spans="1:7" x14ac:dyDescent="0.25">
      <c r="A3" s="10">
        <v>46054</v>
      </c>
      <c r="B3" s="11">
        <v>46054</v>
      </c>
      <c r="C3" s="11">
        <v>46081</v>
      </c>
      <c r="D3" s="11">
        <f t="shared" si="0"/>
        <v>46136</v>
      </c>
      <c r="E3" s="11">
        <f t="shared" si="1"/>
        <v>46143</v>
      </c>
      <c r="F3" s="11">
        <f t="shared" si="2"/>
        <v>46143</v>
      </c>
      <c r="G3" s="11">
        <f t="shared" si="3"/>
        <v>46150</v>
      </c>
    </row>
    <row r="4" spans="1:7" x14ac:dyDescent="0.25">
      <c r="A4" s="10">
        <v>46082</v>
      </c>
      <c r="B4" s="11">
        <v>46082</v>
      </c>
      <c r="C4" s="11">
        <v>46112</v>
      </c>
      <c r="D4" s="11">
        <f t="shared" si="0"/>
        <v>46168</v>
      </c>
      <c r="E4" s="11">
        <f t="shared" si="1"/>
        <v>46175</v>
      </c>
      <c r="F4" s="11">
        <f t="shared" si="2"/>
        <v>46175</v>
      </c>
      <c r="G4" s="11">
        <f t="shared" si="3"/>
        <v>46182</v>
      </c>
    </row>
    <row r="5" spans="1:7" x14ac:dyDescent="0.25">
      <c r="A5" s="10">
        <v>46113</v>
      </c>
      <c r="B5" s="11">
        <v>46113</v>
      </c>
      <c r="C5" s="11">
        <v>46142</v>
      </c>
      <c r="D5" s="11">
        <f t="shared" si="0"/>
        <v>46198</v>
      </c>
      <c r="E5" s="11">
        <f t="shared" si="1"/>
        <v>46205</v>
      </c>
      <c r="F5" s="11">
        <f t="shared" si="2"/>
        <v>46205</v>
      </c>
      <c r="G5" s="11">
        <f t="shared" si="3"/>
        <v>46212</v>
      </c>
    </row>
    <row r="6" spans="1:7" x14ac:dyDescent="0.25">
      <c r="A6" s="10">
        <v>46143</v>
      </c>
      <c r="B6" s="11">
        <v>46143</v>
      </c>
      <c r="C6" s="11">
        <v>46173</v>
      </c>
      <c r="D6" s="11">
        <f t="shared" si="0"/>
        <v>46227</v>
      </c>
      <c r="E6" s="11">
        <f t="shared" si="1"/>
        <v>46234</v>
      </c>
      <c r="F6" s="11">
        <f t="shared" si="2"/>
        <v>46234</v>
      </c>
      <c r="G6" s="11">
        <f t="shared" si="3"/>
        <v>46241</v>
      </c>
    </row>
    <row r="7" spans="1:7" x14ac:dyDescent="0.25">
      <c r="A7" s="10">
        <v>46174</v>
      </c>
      <c r="B7" s="11">
        <v>46174</v>
      </c>
      <c r="C7" s="11">
        <v>46203</v>
      </c>
      <c r="D7" s="11">
        <f t="shared" si="0"/>
        <v>46259</v>
      </c>
      <c r="E7" s="11">
        <f t="shared" si="1"/>
        <v>46266</v>
      </c>
      <c r="F7" s="11">
        <f t="shared" si="2"/>
        <v>46266</v>
      </c>
      <c r="G7" s="11">
        <f t="shared" si="3"/>
        <v>46273</v>
      </c>
    </row>
    <row r="8" spans="1:7" x14ac:dyDescent="0.25">
      <c r="A8" s="10">
        <v>46204</v>
      </c>
      <c r="B8" s="11">
        <v>46204</v>
      </c>
      <c r="C8" s="11">
        <v>46234</v>
      </c>
      <c r="D8" s="11">
        <f t="shared" si="0"/>
        <v>46290</v>
      </c>
      <c r="E8" s="11">
        <f t="shared" si="1"/>
        <v>46297</v>
      </c>
      <c r="F8" s="11">
        <f t="shared" si="2"/>
        <v>46297</v>
      </c>
      <c r="G8" s="11">
        <f t="shared" si="3"/>
        <v>46304</v>
      </c>
    </row>
    <row r="9" spans="1:7" x14ac:dyDescent="0.25">
      <c r="A9" s="10">
        <v>46235</v>
      </c>
      <c r="B9" s="11">
        <v>46235</v>
      </c>
      <c r="C9" s="11">
        <v>46265</v>
      </c>
      <c r="D9" s="11">
        <f t="shared" si="0"/>
        <v>46321</v>
      </c>
      <c r="E9" s="11">
        <f t="shared" si="1"/>
        <v>46328</v>
      </c>
      <c r="F9" s="11">
        <f t="shared" si="2"/>
        <v>46328</v>
      </c>
      <c r="G9" s="11">
        <f t="shared" si="3"/>
        <v>46335</v>
      </c>
    </row>
    <row r="10" spans="1:7" x14ac:dyDescent="0.25">
      <c r="A10" s="10">
        <v>46266</v>
      </c>
      <c r="B10" s="11">
        <v>46266</v>
      </c>
      <c r="C10" s="11">
        <v>46295</v>
      </c>
      <c r="D10" s="11">
        <f t="shared" si="0"/>
        <v>46351</v>
      </c>
      <c r="E10" s="11">
        <f t="shared" si="1"/>
        <v>46358</v>
      </c>
      <c r="F10" s="11">
        <f t="shared" si="2"/>
        <v>46358</v>
      </c>
      <c r="G10" s="11">
        <f t="shared" si="3"/>
        <v>46365</v>
      </c>
    </row>
    <row r="11" spans="1:7" x14ac:dyDescent="0.25">
      <c r="A11" s="10">
        <v>46296</v>
      </c>
      <c r="B11" s="11">
        <v>46296</v>
      </c>
      <c r="C11" s="11">
        <v>46326</v>
      </c>
      <c r="D11" s="11">
        <f t="shared" si="0"/>
        <v>46381</v>
      </c>
      <c r="E11" s="11">
        <f t="shared" si="1"/>
        <v>46388</v>
      </c>
      <c r="F11" s="11">
        <f t="shared" si="2"/>
        <v>46388</v>
      </c>
      <c r="G11" s="11">
        <f t="shared" si="3"/>
        <v>46395</v>
      </c>
    </row>
    <row r="12" spans="1:7" x14ac:dyDescent="0.25">
      <c r="A12" s="10">
        <v>46327</v>
      </c>
      <c r="B12" s="11">
        <v>46327</v>
      </c>
      <c r="C12" s="11">
        <v>46356</v>
      </c>
      <c r="D12" s="11">
        <f t="shared" si="0"/>
        <v>46412</v>
      </c>
      <c r="E12" s="11">
        <f t="shared" si="1"/>
        <v>46419</v>
      </c>
      <c r="F12" s="11">
        <f t="shared" si="2"/>
        <v>46419</v>
      </c>
      <c r="G12" s="11">
        <f t="shared" si="3"/>
        <v>46426</v>
      </c>
    </row>
    <row r="13" spans="1:7" x14ac:dyDescent="0.25">
      <c r="A13" s="10">
        <v>46357</v>
      </c>
      <c r="B13" s="11">
        <v>46357</v>
      </c>
      <c r="C13" s="11">
        <v>46387</v>
      </c>
      <c r="D13" s="11">
        <f t="shared" si="0"/>
        <v>46443</v>
      </c>
      <c r="E13" s="11">
        <f t="shared" si="1"/>
        <v>46450</v>
      </c>
      <c r="F13" s="11">
        <f t="shared" si="2"/>
        <v>46450</v>
      </c>
      <c r="G13" s="11">
        <f t="shared" si="3"/>
        <v>46457</v>
      </c>
    </row>
    <row r="14" spans="1:7" x14ac:dyDescent="0.25">
      <c r="A14" s="10">
        <v>46388</v>
      </c>
      <c r="B14" s="11">
        <v>46388</v>
      </c>
      <c r="C14" s="11">
        <v>46418</v>
      </c>
      <c r="D14" s="11">
        <f t="shared" si="0"/>
        <v>46472</v>
      </c>
      <c r="E14" s="11">
        <f t="shared" si="1"/>
        <v>46479</v>
      </c>
      <c r="F14" s="11">
        <f t="shared" si="2"/>
        <v>46479</v>
      </c>
      <c r="G14" s="11">
        <f t="shared" si="3"/>
        <v>46486</v>
      </c>
    </row>
    <row r="15" spans="1:7" x14ac:dyDescent="0.25">
      <c r="A15" s="10">
        <v>46419</v>
      </c>
      <c r="B15" s="11">
        <v>46419</v>
      </c>
      <c r="C15" s="11">
        <v>46446</v>
      </c>
      <c r="D15" s="11">
        <f t="shared" si="0"/>
        <v>46500</v>
      </c>
      <c r="E15" s="11">
        <f t="shared" si="1"/>
        <v>46507</v>
      </c>
      <c r="F15" s="11">
        <f t="shared" si="2"/>
        <v>46507</v>
      </c>
      <c r="G15" s="11">
        <f t="shared" si="3"/>
        <v>46514</v>
      </c>
    </row>
    <row r="16" spans="1:7" x14ac:dyDescent="0.25">
      <c r="A16" s="10">
        <v>46447</v>
      </c>
      <c r="B16" s="11">
        <v>46447</v>
      </c>
      <c r="C16" s="11">
        <v>46477</v>
      </c>
      <c r="D16" s="11">
        <f t="shared" si="0"/>
        <v>46533</v>
      </c>
      <c r="E16" s="11">
        <f t="shared" si="1"/>
        <v>46540</v>
      </c>
      <c r="F16" s="11">
        <f t="shared" si="2"/>
        <v>46540</v>
      </c>
      <c r="G16" s="11">
        <f t="shared" si="3"/>
        <v>46547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5839D-D487-42BA-9338-C5C1FB9681DD}">
  <dimension ref="A1:C16"/>
  <sheetViews>
    <sheetView topLeftCell="A4" workbookViewId="0">
      <selection activeCell="B7" sqref="B7"/>
    </sheetView>
  </sheetViews>
  <sheetFormatPr defaultRowHeight="15" x14ac:dyDescent="0.25"/>
  <cols>
    <col min="1" max="1" width="38.140625" customWidth="1"/>
    <col min="2" max="2" width="60.42578125" customWidth="1"/>
    <col min="3" max="3" width="38.140625" customWidth="1"/>
    <col min="6" max="6" width="8.7109375" customWidth="1"/>
    <col min="9" max="9" width="8.7109375" customWidth="1"/>
  </cols>
  <sheetData>
    <row r="1" spans="1:3" x14ac:dyDescent="0.25">
      <c r="A1" s="13" t="s">
        <v>12</v>
      </c>
      <c r="B1" s="13" t="s">
        <v>89</v>
      </c>
      <c r="C1" s="13" t="s">
        <v>90</v>
      </c>
    </row>
    <row r="2" spans="1:3" ht="90" x14ac:dyDescent="0.25">
      <c r="A2" s="14" t="s">
        <v>78</v>
      </c>
      <c r="B2" s="14" t="s">
        <v>127</v>
      </c>
      <c r="C2" s="14" t="s">
        <v>92</v>
      </c>
    </row>
    <row r="3" spans="1:3" ht="90" x14ac:dyDescent="0.25">
      <c r="A3" s="14" t="s">
        <v>80</v>
      </c>
      <c r="B3" s="14" t="s">
        <v>128</v>
      </c>
      <c r="C3" s="14" t="s">
        <v>92</v>
      </c>
    </row>
    <row r="4" spans="1:3" ht="90" x14ac:dyDescent="0.25">
      <c r="A4" s="14" t="s">
        <v>79</v>
      </c>
      <c r="B4" s="14" t="s">
        <v>133</v>
      </c>
      <c r="C4" s="14" t="s">
        <v>92</v>
      </c>
    </row>
    <row r="5" spans="1:3" ht="90" x14ac:dyDescent="0.25">
      <c r="A5" s="14" t="s">
        <v>81</v>
      </c>
      <c r="B5" s="14" t="s">
        <v>132</v>
      </c>
      <c r="C5" s="14" t="s">
        <v>92</v>
      </c>
    </row>
    <row r="6" spans="1:3" ht="90" x14ac:dyDescent="0.25">
      <c r="A6" s="14" t="s">
        <v>91</v>
      </c>
      <c r="B6" s="14" t="s">
        <v>131</v>
      </c>
      <c r="C6" s="14" t="s">
        <v>92</v>
      </c>
    </row>
    <row r="7" spans="1:3" ht="90" x14ac:dyDescent="0.25">
      <c r="A7" s="14" t="s">
        <v>4</v>
      </c>
      <c r="B7" s="14" t="s">
        <v>125</v>
      </c>
      <c r="C7" s="14" t="s">
        <v>92</v>
      </c>
    </row>
    <row r="8" spans="1:3" ht="90" x14ac:dyDescent="0.25">
      <c r="A8" s="14" t="s">
        <v>82</v>
      </c>
      <c r="B8" s="14" t="s">
        <v>124</v>
      </c>
      <c r="C8" s="14" t="s">
        <v>92</v>
      </c>
    </row>
    <row r="9" spans="1:3" ht="90" x14ac:dyDescent="0.25">
      <c r="A9" s="14" t="s">
        <v>83</v>
      </c>
      <c r="B9" s="14" t="s">
        <v>123</v>
      </c>
      <c r="C9" s="14" t="s">
        <v>92</v>
      </c>
    </row>
    <row r="10" spans="1:3" ht="90" x14ac:dyDescent="0.25">
      <c r="A10" s="14" t="s">
        <v>84</v>
      </c>
      <c r="B10" s="14" t="s">
        <v>122</v>
      </c>
      <c r="C10" s="14" t="s">
        <v>92</v>
      </c>
    </row>
    <row r="11" spans="1:3" ht="90" x14ac:dyDescent="0.25">
      <c r="A11" s="14" t="s">
        <v>85</v>
      </c>
      <c r="B11" s="14" t="s">
        <v>121</v>
      </c>
      <c r="C11" s="14" t="s">
        <v>92</v>
      </c>
    </row>
    <row r="12" spans="1:3" ht="60" x14ac:dyDescent="0.25">
      <c r="A12" s="14" t="s">
        <v>93</v>
      </c>
      <c r="B12" s="14" t="s">
        <v>120</v>
      </c>
      <c r="C12" s="14" t="s">
        <v>92</v>
      </c>
    </row>
    <row r="13" spans="1:3" ht="60" x14ac:dyDescent="0.25">
      <c r="A13" s="14" t="s">
        <v>94</v>
      </c>
      <c r="B13" s="14" t="s">
        <v>105</v>
      </c>
      <c r="C13" s="14" t="s">
        <v>92</v>
      </c>
    </row>
    <row r="14" spans="1:3" ht="90" x14ac:dyDescent="0.25">
      <c r="A14" s="14" t="s">
        <v>76</v>
      </c>
      <c r="B14" s="14" t="s">
        <v>129</v>
      </c>
      <c r="C14" s="14" t="s">
        <v>92</v>
      </c>
    </row>
    <row r="15" spans="1:3" ht="90" x14ac:dyDescent="0.25">
      <c r="A15" s="14" t="s">
        <v>77</v>
      </c>
      <c r="B15" s="14" t="s">
        <v>126</v>
      </c>
      <c r="C15" s="14" t="s">
        <v>92</v>
      </c>
    </row>
    <row r="16" spans="1:3" ht="60" x14ac:dyDescent="0.25">
      <c r="A16" s="14" t="s">
        <v>9</v>
      </c>
      <c r="B16" s="14" t="s">
        <v>130</v>
      </c>
      <c r="C16" s="1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E053-4B70-4BA9-B11F-2198580FFF27}">
  <dimension ref="A1:J10"/>
  <sheetViews>
    <sheetView workbookViewId="0">
      <selection activeCell="O4" sqref="O4"/>
    </sheetView>
  </sheetViews>
  <sheetFormatPr defaultRowHeight="15" x14ac:dyDescent="0.25"/>
  <sheetData>
    <row r="1" spans="1:10" x14ac:dyDescent="0.25">
      <c r="A1" s="27" t="s">
        <v>95</v>
      </c>
      <c r="B1" s="27"/>
      <c r="C1" s="27"/>
      <c r="D1" s="27"/>
      <c r="E1" s="27"/>
      <c r="F1" s="27"/>
      <c r="G1" s="27"/>
      <c r="H1" s="27"/>
      <c r="I1" s="27"/>
      <c r="J1" s="27"/>
    </row>
    <row r="2" spans="1:10" ht="80.45" customHeight="1" x14ac:dyDescent="0.25">
      <c r="A2" s="29" t="s">
        <v>96</v>
      </c>
      <c r="B2" s="28"/>
      <c r="C2" s="28"/>
      <c r="D2" s="28"/>
      <c r="E2" s="28"/>
      <c r="F2" s="28"/>
      <c r="G2" s="28"/>
      <c r="H2" s="28"/>
      <c r="I2" s="28"/>
      <c r="J2" s="28"/>
    </row>
    <row r="3" spans="1:10" x14ac:dyDescent="0.25">
      <c r="A3" s="27" t="s">
        <v>97</v>
      </c>
      <c r="B3" s="27"/>
      <c r="C3" s="27"/>
      <c r="D3" s="27"/>
      <c r="E3" s="27"/>
      <c r="F3" s="27"/>
      <c r="G3" s="27"/>
      <c r="H3" s="27"/>
      <c r="I3" s="27"/>
      <c r="J3" s="27"/>
    </row>
    <row r="4" spans="1:10" ht="333" customHeight="1" x14ac:dyDescent="0.25">
      <c r="A4" s="28" t="s">
        <v>98</v>
      </c>
      <c r="B4" s="28"/>
      <c r="C4" s="28"/>
      <c r="D4" s="28"/>
      <c r="E4" s="28"/>
      <c r="F4" s="28"/>
      <c r="G4" s="28"/>
      <c r="H4" s="28"/>
      <c r="I4" s="28"/>
      <c r="J4" s="28"/>
    </row>
    <row r="5" spans="1:10" ht="111.6" customHeight="1" x14ac:dyDescent="0.25">
      <c r="A5" s="28" t="s">
        <v>99</v>
      </c>
      <c r="B5" s="28"/>
      <c r="C5" s="28"/>
      <c r="D5" s="28"/>
      <c r="E5" s="28"/>
      <c r="F5" s="28"/>
      <c r="G5" s="28"/>
      <c r="H5" s="28"/>
      <c r="I5" s="28"/>
      <c r="J5" s="28"/>
    </row>
    <row r="6" spans="1:10" x14ac:dyDescent="0.25">
      <c r="A6" s="27" t="s">
        <v>100</v>
      </c>
      <c r="B6" s="27"/>
      <c r="C6" s="27"/>
      <c r="D6" s="27"/>
      <c r="E6" s="27"/>
      <c r="F6" s="27"/>
      <c r="G6" s="27"/>
      <c r="H6" s="27"/>
      <c r="I6" s="27"/>
      <c r="J6" s="27"/>
    </row>
    <row r="7" spans="1:10" x14ac:dyDescent="0.25">
      <c r="A7" s="28" t="s">
        <v>101</v>
      </c>
      <c r="B7" s="28"/>
      <c r="C7" s="28"/>
      <c r="D7" s="28"/>
      <c r="E7" s="28"/>
      <c r="F7" s="28"/>
      <c r="G7" s="28"/>
      <c r="H7" s="28"/>
      <c r="I7" s="28"/>
      <c r="J7" s="28"/>
    </row>
    <row r="8" spans="1:10" ht="38.450000000000003" customHeight="1" x14ac:dyDescent="0.25">
      <c r="A8" s="30" t="s">
        <v>102</v>
      </c>
      <c r="B8" s="30"/>
      <c r="C8" s="30"/>
      <c r="D8" s="30"/>
      <c r="E8" s="30"/>
      <c r="F8" s="30"/>
      <c r="G8" s="30"/>
      <c r="H8" s="30"/>
      <c r="I8" s="30"/>
      <c r="J8" s="30"/>
    </row>
    <row r="9" spans="1:10" x14ac:dyDescent="0.25">
      <c r="A9" s="27" t="s">
        <v>103</v>
      </c>
      <c r="B9" s="27"/>
      <c r="C9" s="27"/>
      <c r="D9" s="27"/>
      <c r="E9" s="27"/>
      <c r="F9" s="27"/>
      <c r="G9" s="27"/>
      <c r="H9" s="27"/>
      <c r="I9" s="27"/>
      <c r="J9" s="27"/>
    </row>
    <row r="10" spans="1:10" ht="63.95" customHeight="1" x14ac:dyDescent="0.25">
      <c r="A10" s="28" t="s">
        <v>104</v>
      </c>
      <c r="B10" s="28"/>
      <c r="C10" s="28"/>
      <c r="D10" s="28"/>
      <c r="E10" s="28"/>
      <c r="F10" s="28"/>
      <c r="G10" s="28"/>
      <c r="H10" s="28"/>
      <c r="I10" s="28"/>
      <c r="J10" s="28"/>
    </row>
  </sheetData>
  <mergeCells count="10">
    <mergeCell ref="A3:J3"/>
    <mergeCell ref="A4:J4"/>
    <mergeCell ref="A1:J1"/>
    <mergeCell ref="A2:J2"/>
    <mergeCell ref="A10:J10"/>
    <mergeCell ref="A8:J8"/>
    <mergeCell ref="A6:J6"/>
    <mergeCell ref="A7:J7"/>
    <mergeCell ref="A9:J9"/>
    <mergeCell ref="A5:J5"/>
  </mergeCells>
  <hyperlinks>
    <hyperlink ref="A8:J8" r:id="rId1" display="Specific acute services were defined in the NHS England 2023/24 priorities and operational guidance by treatment function code." xr:uid="{C76473CB-600F-455D-9448-8BAB28742A43}"/>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2DA7B-8D7E-4C0D-B436-2F6E405420D6}">
  <dimension ref="A1:C44"/>
  <sheetViews>
    <sheetView workbookViewId="0">
      <selection activeCell="G18" sqref="G18"/>
    </sheetView>
  </sheetViews>
  <sheetFormatPr defaultRowHeight="15" x14ac:dyDescent="0.25"/>
  <cols>
    <col min="1" max="1" width="78.42578125" bestFit="1" customWidth="1"/>
  </cols>
  <sheetData>
    <row r="1" spans="1:3" x14ac:dyDescent="0.25">
      <c r="A1" t="s">
        <v>7</v>
      </c>
      <c r="C1" t="s">
        <v>8</v>
      </c>
    </row>
    <row r="2" spans="1:3" x14ac:dyDescent="0.25">
      <c r="A2" t="s">
        <v>15</v>
      </c>
      <c r="C2" s="5">
        <v>46023</v>
      </c>
    </row>
    <row r="3" spans="1:3" x14ac:dyDescent="0.25">
      <c r="A3" t="s">
        <v>16</v>
      </c>
      <c r="C3" s="5">
        <v>46054</v>
      </c>
    </row>
    <row r="4" spans="1:3" x14ac:dyDescent="0.25">
      <c r="A4" t="s">
        <v>17</v>
      </c>
      <c r="C4" s="5">
        <v>46082</v>
      </c>
    </row>
    <row r="5" spans="1:3" x14ac:dyDescent="0.25">
      <c r="A5" t="s">
        <v>18</v>
      </c>
      <c r="C5" s="5">
        <v>46113</v>
      </c>
    </row>
    <row r="6" spans="1:3" x14ac:dyDescent="0.25">
      <c r="A6" t="s">
        <v>19</v>
      </c>
      <c r="C6" s="5">
        <v>46143</v>
      </c>
    </row>
    <row r="7" spans="1:3" x14ac:dyDescent="0.25">
      <c r="A7" t="s">
        <v>20</v>
      </c>
      <c r="C7" s="5">
        <v>46174</v>
      </c>
    </row>
    <row r="8" spans="1:3" x14ac:dyDescent="0.25">
      <c r="A8" t="s">
        <v>21</v>
      </c>
      <c r="C8" s="5">
        <v>46204</v>
      </c>
    </row>
    <row r="9" spans="1:3" x14ac:dyDescent="0.25">
      <c r="A9" t="s">
        <v>22</v>
      </c>
      <c r="C9" s="5">
        <v>46235</v>
      </c>
    </row>
    <row r="10" spans="1:3" x14ac:dyDescent="0.25">
      <c r="A10" t="s">
        <v>23</v>
      </c>
      <c r="C10" s="5">
        <v>46266</v>
      </c>
    </row>
    <row r="11" spans="1:3" x14ac:dyDescent="0.25">
      <c r="A11" t="s">
        <v>24</v>
      </c>
      <c r="C11" s="5">
        <v>46296</v>
      </c>
    </row>
    <row r="12" spans="1:3" x14ac:dyDescent="0.25">
      <c r="A12" t="s">
        <v>25</v>
      </c>
      <c r="C12" s="5">
        <v>46327</v>
      </c>
    </row>
    <row r="13" spans="1:3" x14ac:dyDescent="0.25">
      <c r="A13" t="s">
        <v>26</v>
      </c>
      <c r="C13" s="5">
        <v>46357</v>
      </c>
    </row>
    <row r="14" spans="1:3" x14ac:dyDescent="0.25">
      <c r="A14" t="s">
        <v>27</v>
      </c>
      <c r="C14" s="5">
        <v>46388</v>
      </c>
    </row>
    <row r="15" spans="1:3" x14ac:dyDescent="0.25">
      <c r="A15" t="s">
        <v>28</v>
      </c>
      <c r="C15" s="5">
        <v>46419</v>
      </c>
    </row>
    <row r="16" spans="1:3" x14ac:dyDescent="0.25">
      <c r="A16" t="s">
        <v>29</v>
      </c>
      <c r="C16" s="5">
        <v>46447</v>
      </c>
    </row>
    <row r="17" spans="1:3" x14ac:dyDescent="0.25">
      <c r="A17" t="s">
        <v>30</v>
      </c>
      <c r="C17" s="5">
        <v>46478</v>
      </c>
    </row>
    <row r="18" spans="1:3" x14ac:dyDescent="0.25">
      <c r="A18" t="s">
        <v>31</v>
      </c>
      <c r="C18" s="5">
        <v>46508</v>
      </c>
    </row>
    <row r="19" spans="1:3" x14ac:dyDescent="0.25">
      <c r="A19" t="s">
        <v>32</v>
      </c>
      <c r="C19" s="5">
        <v>46539</v>
      </c>
    </row>
    <row r="20" spans="1:3" x14ac:dyDescent="0.25">
      <c r="A20" t="s">
        <v>33</v>
      </c>
      <c r="C20" s="5">
        <v>46569</v>
      </c>
    </row>
    <row r="21" spans="1:3" x14ac:dyDescent="0.25">
      <c r="A21" t="s">
        <v>34</v>
      </c>
      <c r="C21" s="5">
        <v>46600</v>
      </c>
    </row>
    <row r="22" spans="1:3" x14ac:dyDescent="0.25">
      <c r="A22" t="s">
        <v>35</v>
      </c>
      <c r="C22" s="5">
        <v>46631</v>
      </c>
    </row>
    <row r="23" spans="1:3" x14ac:dyDescent="0.25">
      <c r="A23" t="s">
        <v>36</v>
      </c>
      <c r="C23" s="5">
        <v>46661</v>
      </c>
    </row>
    <row r="24" spans="1:3" x14ac:dyDescent="0.25">
      <c r="A24" t="s">
        <v>37</v>
      </c>
      <c r="C24" s="5">
        <v>46692</v>
      </c>
    </row>
    <row r="25" spans="1:3" x14ac:dyDescent="0.25">
      <c r="A25" t="s">
        <v>38</v>
      </c>
      <c r="C25" s="5">
        <v>46722</v>
      </c>
    </row>
    <row r="26" spans="1:3" x14ac:dyDescent="0.25">
      <c r="A26" t="s">
        <v>39</v>
      </c>
      <c r="C26" s="5">
        <v>46753</v>
      </c>
    </row>
    <row r="27" spans="1:3" x14ac:dyDescent="0.25">
      <c r="A27" t="s">
        <v>40</v>
      </c>
      <c r="C27" s="5">
        <v>46784</v>
      </c>
    </row>
    <row r="28" spans="1:3" x14ac:dyDescent="0.25">
      <c r="A28" t="s">
        <v>41</v>
      </c>
      <c r="C28" s="5">
        <v>46813</v>
      </c>
    </row>
    <row r="29" spans="1:3" x14ac:dyDescent="0.25">
      <c r="A29" t="s">
        <v>42</v>
      </c>
      <c r="C29" s="5"/>
    </row>
    <row r="30" spans="1:3" x14ac:dyDescent="0.25">
      <c r="A30" t="s">
        <v>43</v>
      </c>
      <c r="C30" s="5"/>
    </row>
    <row r="31" spans="1:3" x14ac:dyDescent="0.25">
      <c r="A31" t="s">
        <v>44</v>
      </c>
      <c r="C31" s="5"/>
    </row>
    <row r="32" spans="1:3" x14ac:dyDescent="0.25">
      <c r="A32" t="s">
        <v>45</v>
      </c>
      <c r="C32" s="5"/>
    </row>
    <row r="33" spans="1:3" x14ac:dyDescent="0.25">
      <c r="A33" t="s">
        <v>46</v>
      </c>
      <c r="C33" s="5"/>
    </row>
    <row r="34" spans="1:3" x14ac:dyDescent="0.25">
      <c r="A34" t="s">
        <v>47</v>
      </c>
      <c r="C34" s="5"/>
    </row>
    <row r="35" spans="1:3" x14ac:dyDescent="0.25">
      <c r="A35" t="s">
        <v>48</v>
      </c>
      <c r="C35" s="5"/>
    </row>
    <row r="36" spans="1:3" x14ac:dyDescent="0.25">
      <c r="A36" t="s">
        <v>49</v>
      </c>
      <c r="C36" s="5"/>
    </row>
    <row r="37" spans="1:3" x14ac:dyDescent="0.25">
      <c r="A37" t="s">
        <v>50</v>
      </c>
    </row>
    <row r="38" spans="1:3" x14ac:dyDescent="0.25">
      <c r="A38" t="s">
        <v>51</v>
      </c>
    </row>
    <row r="39" spans="1:3" x14ac:dyDescent="0.25">
      <c r="A39" t="s">
        <v>52</v>
      </c>
    </row>
    <row r="40" spans="1:3" x14ac:dyDescent="0.25">
      <c r="A40" t="s">
        <v>53</v>
      </c>
    </row>
    <row r="41" spans="1:3" x14ac:dyDescent="0.25">
      <c r="A41" t="s">
        <v>54</v>
      </c>
    </row>
    <row r="42" spans="1:3" x14ac:dyDescent="0.25">
      <c r="A42" t="s">
        <v>55</v>
      </c>
    </row>
    <row r="43" spans="1:3" x14ac:dyDescent="0.25">
      <c r="A43" t="s">
        <v>56</v>
      </c>
    </row>
    <row r="44" spans="1:3" x14ac:dyDescent="0.25">
      <c r="A44" t="s">
        <v>57</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SubmissionTimetable</vt:lpstr>
      <vt:lpstr>Definitions</vt:lpstr>
      <vt:lpstr>AcuteNonElectiveDefs</vt:lpstr>
      <vt:lpstr>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Woodall (Strategy Unit, hosted by ML)</dc:creator>
  <cp:lastModifiedBy>Andre Bilbrough (Strategy Unit, hosted by ML)</cp:lastModifiedBy>
  <dcterms:created xsi:type="dcterms:W3CDTF">2025-10-16T13:36:25Z</dcterms:created>
  <dcterms:modified xsi:type="dcterms:W3CDTF">2026-02-19T11:41:52Z</dcterms:modified>
</cp:coreProperties>
</file>