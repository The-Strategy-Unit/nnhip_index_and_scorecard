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csucloudservices-my.sharepoint.com/personal/rachel_caswell_mlcsu_nhs_uk/Documents/Documents/Neighbourhoods NHIP/"/>
    </mc:Choice>
  </mc:AlternateContent>
  <xr:revisionPtr revIDLastSave="1" documentId="8_{3464D747-8BF3-48C1-97D5-6514795B59FA}" xr6:coauthVersionLast="47" xr6:coauthVersionMax="47" xr10:uidLastSave="{D4EECB80-9DB6-4D1D-93E4-811BE12419F7}"/>
  <bookViews>
    <workbookView xWindow="-120" yWindow="-120" windowWidth="29040" windowHeight="15720"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4" l="1"/>
  <c r="L11" i="4"/>
  <c r="L14" i="4"/>
  <c r="L16" i="4"/>
  <c r="L17" i="4"/>
  <c r="L19" i="4"/>
  <c r="L20" i="4"/>
  <c r="L22" i="4"/>
  <c r="L37" i="4" s="1"/>
  <c r="L38" i="4" s="1"/>
  <c r="L23" i="4"/>
  <c r="L25" i="4"/>
  <c r="L34" i="4" s="1"/>
  <c r="L35" i="4" s="1"/>
  <c r="L26" i="4"/>
  <c r="L28" i="4"/>
  <c r="L29" i="4"/>
  <c r="L31" i="4"/>
  <c r="L32" i="4"/>
  <c r="L43" i="4"/>
  <c r="L44" i="4"/>
  <c r="L46" i="4"/>
  <c r="L47" i="4"/>
  <c r="U34" i="4"/>
  <c r="U35" i="4" s="1"/>
  <c r="N34" i="4"/>
  <c r="N35" i="4" s="1"/>
  <c r="J34" i="4"/>
  <c r="J35" i="4" s="1"/>
  <c r="F34" i="4"/>
  <c r="F35" i="4" s="1"/>
  <c r="P32" i="4"/>
  <c r="Y31" i="4"/>
  <c r="Y32" i="4" s="1"/>
  <c r="W31" i="4"/>
  <c r="W32" i="4" s="1"/>
  <c r="P31" i="4"/>
  <c r="O31" i="4"/>
  <c r="O32" i="4" s="1"/>
  <c r="J31" i="4"/>
  <c r="J32" i="4" s="1"/>
  <c r="H31" i="4"/>
  <c r="H32" i="4" s="1"/>
  <c r="V28" i="4"/>
  <c r="V29" i="4" s="1"/>
  <c r="T28" i="4"/>
  <c r="T29" i="4" s="1"/>
  <c r="S28" i="4"/>
  <c r="S29" i="4" s="1"/>
  <c r="O28" i="4"/>
  <c r="O29" i="4" s="1"/>
  <c r="G28" i="4"/>
  <c r="G29" i="4" s="1"/>
  <c r="E28" i="4"/>
  <c r="E29" i="4" s="1"/>
  <c r="D28" i="4"/>
  <c r="D29" i="4" s="1"/>
  <c r="Z19" i="4"/>
  <c r="Z20" i="4" s="1"/>
  <c r="Y19" i="4"/>
  <c r="Y20" i="4" s="1"/>
  <c r="X19" i="4"/>
  <c r="X20" i="4" s="1"/>
  <c r="W19" i="4"/>
  <c r="W20" i="4" s="1"/>
  <c r="V19" i="4"/>
  <c r="V20" i="4" s="1"/>
  <c r="U19" i="4"/>
  <c r="U20" i="4" s="1"/>
  <c r="T19" i="4"/>
  <c r="T20" i="4" s="1"/>
  <c r="S19" i="4"/>
  <c r="S20" i="4" s="1"/>
  <c r="R19" i="4"/>
  <c r="R20" i="4" s="1"/>
  <c r="Q19" i="4"/>
  <c r="Q20" i="4" s="1"/>
  <c r="P19" i="4"/>
  <c r="P20" i="4" s="1"/>
  <c r="O19" i="4"/>
  <c r="O20" i="4" s="1"/>
  <c r="N19" i="4"/>
  <c r="N20" i="4" s="1"/>
  <c r="M19" i="4"/>
  <c r="M20" i="4" s="1"/>
  <c r="K19" i="4"/>
  <c r="K20" i="4" s="1"/>
  <c r="J19" i="4"/>
  <c r="J20" i="4" s="1"/>
  <c r="I19" i="4"/>
  <c r="I20" i="4" s="1"/>
  <c r="H19" i="4"/>
  <c r="H20" i="4" s="1"/>
  <c r="G19" i="4"/>
  <c r="G20" i="4" s="1"/>
  <c r="F19" i="4"/>
  <c r="F20" i="4" s="1"/>
  <c r="E19" i="4"/>
  <c r="E20" i="4" s="1"/>
  <c r="D19" i="4"/>
  <c r="D20" i="4" s="1"/>
  <c r="Z14" i="4"/>
  <c r="Y14" i="4"/>
  <c r="X14" i="4"/>
  <c r="W14" i="4"/>
  <c r="V14" i="4"/>
  <c r="U14" i="4"/>
  <c r="T14" i="4"/>
  <c r="S14" i="4"/>
  <c r="R14" i="4"/>
  <c r="Q14" i="4"/>
  <c r="P14" i="4"/>
  <c r="O14" i="4"/>
  <c r="N14" i="4"/>
  <c r="M14" i="4"/>
  <c r="K14" i="4"/>
  <c r="J14" i="4"/>
  <c r="I14" i="4"/>
  <c r="H14" i="4"/>
  <c r="G14" i="4"/>
  <c r="F14" i="4"/>
  <c r="E14" i="4"/>
  <c r="D14" i="4"/>
  <c r="Z11" i="4"/>
  <c r="Y11" i="4"/>
  <c r="X11" i="4"/>
  <c r="W11" i="4"/>
  <c r="V11" i="4"/>
  <c r="U11" i="4"/>
  <c r="T11" i="4"/>
  <c r="S11" i="4"/>
  <c r="R11" i="4"/>
  <c r="Q11" i="4"/>
  <c r="P11" i="4"/>
  <c r="O11" i="4"/>
  <c r="N11" i="4"/>
  <c r="M11" i="4"/>
  <c r="K11" i="4"/>
  <c r="J11" i="4"/>
  <c r="I11" i="4"/>
  <c r="H11" i="4"/>
  <c r="G11" i="4"/>
  <c r="F11" i="4"/>
  <c r="E11" i="4"/>
  <c r="D11" i="4"/>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Z43" i="4"/>
  <c r="Z44" i="4" s="1"/>
  <c r="Y43" i="4"/>
  <c r="Y44" i="4" s="1"/>
  <c r="X43" i="4"/>
  <c r="X44" i="4" s="1"/>
  <c r="W43" i="4"/>
  <c r="W44" i="4" s="1"/>
  <c r="V43" i="4"/>
  <c r="V44" i="4" s="1"/>
  <c r="U43" i="4"/>
  <c r="U44" i="4" s="1"/>
  <c r="T43" i="4"/>
  <c r="T44" i="4" s="1"/>
  <c r="S43" i="4"/>
  <c r="S44" i="4" s="1"/>
  <c r="R43" i="4"/>
  <c r="R44" i="4" s="1"/>
  <c r="Q43" i="4"/>
  <c r="Q44" i="4" s="1"/>
  <c r="P43" i="4"/>
  <c r="P44" i="4" s="1"/>
  <c r="O43" i="4"/>
  <c r="O44" i="4" s="1"/>
  <c r="N43" i="4"/>
  <c r="N44" i="4" s="1"/>
  <c r="M43" i="4"/>
  <c r="M44" i="4" s="1"/>
  <c r="K43" i="4"/>
  <c r="K44" i="4" s="1"/>
  <c r="J43" i="4"/>
  <c r="J44" i="4" s="1"/>
  <c r="I43" i="4"/>
  <c r="I44" i="4" s="1"/>
  <c r="H43" i="4"/>
  <c r="H44" i="4" s="1"/>
  <c r="G43" i="4"/>
  <c r="G44" i="4" s="1"/>
  <c r="F43" i="4"/>
  <c r="F44" i="4" s="1"/>
  <c r="E43" i="4"/>
  <c r="E44" i="4" s="1"/>
  <c r="D43" i="4"/>
  <c r="D44" i="4" s="1"/>
  <c r="Z22" i="4"/>
  <c r="Z37" i="4" s="1"/>
  <c r="Z38" i="4" s="1"/>
  <c r="Y22" i="4"/>
  <c r="Y37" i="4" s="1"/>
  <c r="Y38" i="4" s="1"/>
  <c r="X22" i="4"/>
  <c r="X23" i="4" s="1"/>
  <c r="W22" i="4"/>
  <c r="W23" i="4" s="1"/>
  <c r="V22" i="4"/>
  <c r="V37" i="4" s="1"/>
  <c r="V38" i="4" s="1"/>
  <c r="U22" i="4"/>
  <c r="U37" i="4" s="1"/>
  <c r="U38" i="4" s="1"/>
  <c r="T22" i="4"/>
  <c r="T37" i="4" s="1"/>
  <c r="T38" i="4" s="1"/>
  <c r="S22" i="4"/>
  <c r="S37" i="4" s="1"/>
  <c r="S38" i="4" s="1"/>
  <c r="R22" i="4"/>
  <c r="R23" i="4" s="1"/>
  <c r="Q22" i="4"/>
  <c r="Q23" i="4" s="1"/>
  <c r="P22" i="4"/>
  <c r="P23" i="4" s="1"/>
  <c r="O22" i="4"/>
  <c r="O23" i="4" s="1"/>
  <c r="N22" i="4"/>
  <c r="N23" i="4" s="1"/>
  <c r="M22" i="4"/>
  <c r="M37" i="4" s="1"/>
  <c r="M38" i="4" s="1"/>
  <c r="K22" i="4"/>
  <c r="K23" i="4" s="1"/>
  <c r="J22" i="4"/>
  <c r="J23" i="4" s="1"/>
  <c r="I22" i="4"/>
  <c r="I23" i="4" s="1"/>
  <c r="H22" i="4"/>
  <c r="H23" i="4" s="1"/>
  <c r="G22" i="4"/>
  <c r="G37" i="4" s="1"/>
  <c r="G38" i="4" s="1"/>
  <c r="F22" i="4"/>
  <c r="F37" i="4" s="1"/>
  <c r="F38" i="4" s="1"/>
  <c r="E22" i="4"/>
  <c r="E37" i="4" s="1"/>
  <c r="E38" i="4" s="1"/>
  <c r="D22" i="4"/>
  <c r="D37" i="4" s="1"/>
  <c r="D38" i="4" s="1"/>
  <c r="Z16" i="4"/>
  <c r="Z17" i="4" s="1"/>
  <c r="Y16" i="4"/>
  <c r="Y17" i="4" s="1"/>
  <c r="X16" i="4"/>
  <c r="X25" i="4" s="1"/>
  <c r="X26" i="4" s="1"/>
  <c r="W16" i="4"/>
  <c r="W25" i="4" s="1"/>
  <c r="W26" i="4" s="1"/>
  <c r="V16" i="4"/>
  <c r="V25" i="4" s="1"/>
  <c r="V26" i="4" s="1"/>
  <c r="U16" i="4"/>
  <c r="U25" i="4" s="1"/>
  <c r="U26" i="4" s="1"/>
  <c r="T16" i="4"/>
  <c r="T17" i="4" s="1"/>
  <c r="S16" i="4"/>
  <c r="S17" i="4" s="1"/>
  <c r="R16" i="4"/>
  <c r="R25" i="4" s="1"/>
  <c r="R26" i="4" s="1"/>
  <c r="Q16" i="4"/>
  <c r="Q17" i="4" s="1"/>
  <c r="P16" i="4"/>
  <c r="P25" i="4" s="1"/>
  <c r="P26" i="4" s="1"/>
  <c r="O16" i="4"/>
  <c r="O25" i="4" s="1"/>
  <c r="O26" i="4" s="1"/>
  <c r="N16" i="4"/>
  <c r="N25" i="4" s="1"/>
  <c r="N26" i="4" s="1"/>
  <c r="M16" i="4"/>
  <c r="M17" i="4" s="1"/>
  <c r="K16" i="4"/>
  <c r="K25" i="4" s="1"/>
  <c r="K26" i="4" s="1"/>
  <c r="J16" i="4"/>
  <c r="J25" i="4" s="1"/>
  <c r="J26" i="4" s="1"/>
  <c r="I16" i="4"/>
  <c r="I25" i="4" s="1"/>
  <c r="I26" i="4" s="1"/>
  <c r="H16" i="4"/>
  <c r="H25" i="4" s="1"/>
  <c r="H26" i="4" s="1"/>
  <c r="G16" i="4"/>
  <c r="G25" i="4" s="1"/>
  <c r="G26" i="4" s="1"/>
  <c r="F16" i="4"/>
  <c r="F25" i="4" s="1"/>
  <c r="F26" i="4" s="1"/>
  <c r="E16" i="4"/>
  <c r="E17" i="4" s="1"/>
  <c r="D16" i="4"/>
  <c r="D17" i="4" s="1"/>
  <c r="Z8" i="4"/>
  <c r="Y8" i="4"/>
  <c r="X8" i="4"/>
  <c r="W8" i="4"/>
  <c r="V8" i="4"/>
  <c r="U8" i="4"/>
  <c r="T8" i="4"/>
  <c r="S8" i="4"/>
  <c r="R8" i="4"/>
  <c r="Q8" i="4"/>
  <c r="P8" i="4"/>
  <c r="O8" i="4"/>
  <c r="N8" i="4"/>
  <c r="M8" i="4"/>
  <c r="K8" i="4"/>
  <c r="J8" i="4"/>
  <c r="I8" i="4"/>
  <c r="H8" i="4"/>
  <c r="G8" i="4"/>
  <c r="F8" i="4"/>
  <c r="E8" i="4"/>
  <c r="D8" i="4"/>
  <c r="B2" i="4"/>
  <c r="B1" i="4"/>
  <c r="L40" i="4" l="1"/>
  <c r="L41" i="4" s="1"/>
  <c r="Q28" i="4"/>
  <c r="Q29" i="4" s="1"/>
  <c r="M31" i="4"/>
  <c r="M32" i="4" s="1"/>
  <c r="H34" i="4"/>
  <c r="H35" i="4" s="1"/>
  <c r="W34" i="4"/>
  <c r="W35" i="4" s="1"/>
  <c r="R28" i="4"/>
  <c r="R29" i="4" s="1"/>
  <c r="N31" i="4"/>
  <c r="N32" i="4" s="1"/>
  <c r="I34" i="4"/>
  <c r="I35" i="4" s="1"/>
  <c r="X34" i="4"/>
  <c r="X35" i="4" s="1"/>
  <c r="K34" i="4"/>
  <c r="K35" i="4" s="1"/>
  <c r="F28" i="4"/>
  <c r="F29" i="4" s="1"/>
  <c r="U28" i="4"/>
  <c r="U29" i="4" s="1"/>
  <c r="Q31" i="4"/>
  <c r="Q32" i="4" s="1"/>
  <c r="H28" i="4"/>
  <c r="H29" i="4" s="1"/>
  <c r="D31" i="4"/>
  <c r="D32" i="4" s="1"/>
  <c r="O34" i="4"/>
  <c r="O35" i="4" s="1"/>
  <c r="I28" i="4"/>
  <c r="I29" i="4" s="1"/>
  <c r="X28" i="4"/>
  <c r="X29" i="4" s="1"/>
  <c r="E31" i="4"/>
  <c r="E32" i="4" s="1"/>
  <c r="T31" i="4"/>
  <c r="T32" i="4" s="1"/>
  <c r="P34" i="4"/>
  <c r="P35" i="4" s="1"/>
  <c r="W28" i="4"/>
  <c r="W29" i="4" s="1"/>
  <c r="J28" i="4"/>
  <c r="J29" i="4" s="1"/>
  <c r="Y28" i="4"/>
  <c r="Y29" i="4" s="1"/>
  <c r="F31" i="4"/>
  <c r="F32" i="4" s="1"/>
  <c r="U31" i="4"/>
  <c r="U32" i="4" s="1"/>
  <c r="R31" i="4"/>
  <c r="R32" i="4" s="1"/>
  <c r="S31" i="4"/>
  <c r="S32" i="4" s="1"/>
  <c r="K28" i="4"/>
  <c r="K29" i="4" s="1"/>
  <c r="Z28" i="4"/>
  <c r="Z29" i="4" s="1"/>
  <c r="G31" i="4"/>
  <c r="G32" i="4" s="1"/>
  <c r="V31" i="4"/>
  <c r="V32" i="4" s="1"/>
  <c r="R34" i="4"/>
  <c r="R35" i="4" s="1"/>
  <c r="M28" i="4"/>
  <c r="M29" i="4" s="1"/>
  <c r="N28" i="4"/>
  <c r="N29" i="4" s="1"/>
  <c r="I31" i="4"/>
  <c r="I32" i="4" s="1"/>
  <c r="X31" i="4"/>
  <c r="X32" i="4" s="1"/>
  <c r="P28" i="4"/>
  <c r="P29" i="4" s="1"/>
  <c r="K31" i="4"/>
  <c r="K32" i="4" s="1"/>
  <c r="Z31" i="4"/>
  <c r="Z32" i="4" s="1"/>
  <c r="G34" i="4"/>
  <c r="G35" i="4" s="1"/>
  <c r="V34" i="4"/>
  <c r="V35" i="4" s="1"/>
  <c r="H40" i="4"/>
  <c r="H41" i="4" s="1"/>
  <c r="W40" i="4"/>
  <c r="W41" i="4" s="1"/>
  <c r="U46" i="4"/>
  <c r="U47" i="4" s="1"/>
  <c r="I40" i="4"/>
  <c r="I41" i="4" s="1"/>
  <c r="J40" i="4"/>
  <c r="J41" i="4" s="1"/>
  <c r="N40" i="4"/>
  <c r="N41" i="4" s="1"/>
  <c r="O40" i="4"/>
  <c r="O41" i="4" s="1"/>
  <c r="M46" i="4"/>
  <c r="M47" i="4" s="1"/>
  <c r="R40" i="4"/>
  <c r="R41" i="4" s="1"/>
  <c r="Y25" i="4"/>
  <c r="Y34" i="4" s="1"/>
  <c r="Y35" i="4" s="1"/>
  <c r="F40" i="4"/>
  <c r="F41" i="4" s="1"/>
  <c r="U40" i="4"/>
  <c r="U41" i="4" s="1"/>
  <c r="X40" i="4"/>
  <c r="X41" i="4" s="1"/>
  <c r="K40" i="4"/>
  <c r="K41" i="4" s="1"/>
  <c r="P40" i="4"/>
  <c r="P41" i="4" s="1"/>
  <c r="G40" i="4"/>
  <c r="G41" i="4" s="1"/>
  <c r="V40" i="4"/>
  <c r="V41" i="4" s="1"/>
  <c r="N46" i="4"/>
  <c r="N47" i="4" s="1"/>
  <c r="O46" i="4"/>
  <c r="O47" i="4" s="1"/>
  <c r="P46" i="4"/>
  <c r="P47" i="4" s="1"/>
  <c r="Q46" i="4"/>
  <c r="Q47" i="4" s="1"/>
  <c r="Z25" i="4"/>
  <c r="Z34" i="4" s="1"/>
  <c r="Z35" i="4" s="1"/>
  <c r="R46" i="4"/>
  <c r="R47" i="4" s="1"/>
  <c r="J37" i="4"/>
  <c r="J38" i="4" s="1"/>
  <c r="S46" i="4"/>
  <c r="S47" i="4" s="1"/>
  <c r="E46" i="4"/>
  <c r="E47" i="4" s="1"/>
  <c r="T46" i="4"/>
  <c r="T47" i="4" s="1"/>
  <c r="F46" i="4"/>
  <c r="F47" i="4" s="1"/>
  <c r="G46" i="4"/>
  <c r="G47" i="4" s="1"/>
  <c r="V46" i="4"/>
  <c r="V47" i="4" s="1"/>
  <c r="H46" i="4"/>
  <c r="H47" i="4" s="1"/>
  <c r="W46" i="4"/>
  <c r="W47" i="4" s="1"/>
  <c r="I46" i="4"/>
  <c r="I47" i="4" s="1"/>
  <c r="X46" i="4"/>
  <c r="X47" i="4" s="1"/>
  <c r="J46" i="4"/>
  <c r="J47" i="4" s="1"/>
  <c r="Y46" i="4"/>
  <c r="Y47" i="4" s="1"/>
  <c r="K46" i="4"/>
  <c r="K47" i="4" s="1"/>
  <c r="Z46" i="4"/>
  <c r="Z47" i="4" s="1"/>
  <c r="D46" i="4"/>
  <c r="D47" i="4" s="1"/>
  <c r="J17" i="4"/>
  <c r="K17" i="4"/>
  <c r="I17" i="4"/>
  <c r="K37" i="4"/>
  <c r="K38" i="4" s="1"/>
  <c r="F17" i="4"/>
  <c r="G17" i="4"/>
  <c r="H17" i="4"/>
  <c r="H37" i="4"/>
  <c r="H38" i="4" s="1"/>
  <c r="I37" i="4"/>
  <c r="I38" i="4" s="1"/>
  <c r="T23" i="4"/>
  <c r="U23" i="4"/>
  <c r="W37" i="4"/>
  <c r="W38" i="4" s="1"/>
  <c r="N17" i="4"/>
  <c r="X37" i="4"/>
  <c r="X38" i="4" s="1"/>
  <c r="D23" i="4"/>
  <c r="Y23" i="4"/>
  <c r="V17" i="4"/>
  <c r="E23" i="4"/>
  <c r="Z23" i="4"/>
  <c r="F23" i="4"/>
  <c r="M25" i="4"/>
  <c r="M34" i="4" s="1"/>
  <c r="M35" i="4" s="1"/>
  <c r="S23" i="4"/>
  <c r="V23" i="4"/>
  <c r="U17" i="4"/>
  <c r="W17" i="4"/>
  <c r="X17" i="4"/>
  <c r="G23" i="4"/>
  <c r="Q25" i="4"/>
  <c r="Q34" i="4" s="1"/>
  <c r="Q35" i="4" s="1"/>
  <c r="O37" i="4"/>
  <c r="O38" i="4" s="1"/>
  <c r="O17" i="4"/>
  <c r="M23" i="4"/>
  <c r="D25" i="4"/>
  <c r="D34" i="4" s="1"/>
  <c r="D35" i="4" s="1"/>
  <c r="S25" i="4"/>
  <c r="S34" i="4" s="1"/>
  <c r="S35" i="4" s="1"/>
  <c r="Q37" i="4"/>
  <c r="Q38" i="4" s="1"/>
  <c r="N37" i="4"/>
  <c r="N38" i="4" s="1"/>
  <c r="P17" i="4"/>
  <c r="E25" i="4"/>
  <c r="E34" i="4" s="1"/>
  <c r="E35" i="4" s="1"/>
  <c r="T25" i="4"/>
  <c r="T34" i="4" s="1"/>
  <c r="T35" i="4" s="1"/>
  <c r="R37" i="4"/>
  <c r="R38" i="4" s="1"/>
  <c r="P37" i="4"/>
  <c r="P38" i="4" s="1"/>
  <c r="R17" i="4"/>
  <c r="T26" i="4" l="1"/>
  <c r="T40" i="4"/>
  <c r="T41" i="4" s="1"/>
  <c r="E26" i="4"/>
  <c r="E40" i="4"/>
  <c r="E41" i="4" s="1"/>
  <c r="M26" i="4"/>
  <c r="M40" i="4"/>
  <c r="M41" i="4" s="1"/>
  <c r="S26" i="4"/>
  <c r="S40" i="4"/>
  <c r="S41" i="4" s="1"/>
  <c r="D26" i="4"/>
  <c r="D40" i="4"/>
  <c r="D41" i="4" s="1"/>
  <c r="Q26" i="4"/>
  <c r="Q40" i="4"/>
  <c r="Q41" i="4" s="1"/>
  <c r="Z26" i="4"/>
  <c r="Z40" i="4"/>
  <c r="Z41" i="4" s="1"/>
  <c r="Y26" i="4"/>
  <c r="Y40" i="4"/>
  <c r="Y41" i="4" s="1"/>
</calcChain>
</file>

<file path=xl/sharedStrings.xml><?xml version="1.0" encoding="utf-8"?>
<sst xmlns="http://schemas.openxmlformats.org/spreadsheetml/2006/main" count="256" uniqueCount="180">
  <si>
    <t>NNHIP Data Collection Template</t>
  </si>
  <si>
    <t>Please select your project and the current submission period before completing the other templates from the lookups below:</t>
  </si>
  <si>
    <t>Project Name</t>
  </si>
  <si>
    <t>Submission Period</t>
  </si>
  <si>
    <t>There is one worksheet to complete to collect data for the NNHIP cohort. The worksheets are:</t>
  </si>
  <si>
    <t>Worksheet</t>
  </si>
  <si>
    <t>Description</t>
  </si>
  <si>
    <t>SubmissionTemplate</t>
  </si>
  <si>
    <t>Collects the data for you local NNHIP cohort for the current reporting month</t>
  </si>
  <si>
    <t>The metrics collected for the NNHIP cohort  are:</t>
  </si>
  <si>
    <t>Metric</t>
  </si>
  <si>
    <t>Number of outpatient appointments (new, follow up and outpatient procedures)</t>
  </si>
  <si>
    <t>Number of consultant-led outpatient appointments (new, follow up and outpatient procedures) per 1,000 patients in the cohort (source: SUS Outpatients)</t>
  </si>
  <si>
    <t>Number of emergency admissions (0 days LOS)</t>
  </si>
  <si>
    <t>Number of specific acute non-elective spells in the period with a length of stay of zero days per 1,000 patients in the cohort (source: SUS Inpatients)</t>
  </si>
  <si>
    <t>Number of emergency admissions (1 or days LOS)</t>
  </si>
  <si>
    <t>Number of specific acute non-elective spells in the period with a length of stay of one or more days per 1,000 patients in the cohort (source: SUS Inpatients)</t>
  </si>
  <si>
    <t>Number of inpatient bed days</t>
  </si>
  <si>
    <t>Number of inpatient bed days per 1,000 patients in the cohort (source: SUS Inpatients)</t>
  </si>
  <si>
    <t>Number of ambulance conveyances</t>
  </si>
  <si>
    <t>Number of ambulance conveyances to hospital per category for patients in the local NNHIP cohort during the month per 1,000 patients in the cohort (source: ECDS)</t>
  </si>
  <si>
    <t>Number of A&amp;E attendances</t>
  </si>
  <si>
    <t>Number of A&amp;E attendances (Type 1 and Other types) per 1,000 patients in the cohort  (source: ECDS)</t>
  </si>
  <si>
    <t>Number of general practice appointments</t>
  </si>
  <si>
    <t>Number of appointments in general practice and Primary Care Networks per 1,000 patients in the cohort (source: primary care systems)</t>
  </si>
  <si>
    <t>Number of Community Care Contacts</t>
  </si>
  <si>
    <t>Number of Community Care Contacts attended per 1,000 patients in the cohort (source: CSDS)</t>
  </si>
  <si>
    <t>Number of patients in the cohort</t>
  </si>
  <si>
    <t>Number of patients that have been identified as meeting the criteria based on your local definition</t>
  </si>
  <si>
    <t>Number of patients on the NNHIP caseload</t>
  </si>
  <si>
    <t xml:space="preserve">Number of active cases the Place is actively working with during the month. This should not be the whole NNHIP cohort. </t>
  </si>
  <si>
    <t>Small number suppression</t>
  </si>
  <si>
    <t>Any numbers below 6 should be suppressed from the submission and replaced with * to show they are suppressed.</t>
  </si>
  <si>
    <t>Detailed definitions of the NNHIP metrics can be for in the Definitions tab.</t>
  </si>
  <si>
    <t>The metrics need to be split by three demographics factors. These are:</t>
  </si>
  <si>
    <t>Demographic factor</t>
  </si>
  <si>
    <t>Age Group</t>
  </si>
  <si>
    <t>Ten year age groups based on the persons age at the time of intervention</t>
  </si>
  <si>
    <t>Ethnic Group</t>
  </si>
  <si>
    <t>Broad ethnic groups based on the persons recorded ethnic group at the time of intervention</t>
  </si>
  <si>
    <t>Deprivation Quintile</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</si>
  <si>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</si>
  <si>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Metric Id</t>
  </si>
  <si>
    <t>Metric Type</t>
  </si>
  <si>
    <t>Metric Details</t>
  </si>
  <si>
    <t>Total</t>
  </si>
  <si>
    <t>18-19</t>
  </si>
  <si>
    <t>20-29</t>
  </si>
  <si>
    <t>30-39</t>
  </si>
  <si>
    <t>40-49</t>
  </si>
  <si>
    <t>50-59</t>
  </si>
  <si>
    <t>60-69</t>
  </si>
  <si>
    <t>70-79</t>
  </si>
  <si>
    <t>80-89</t>
  </si>
  <si>
    <t>90+</t>
  </si>
  <si>
    <t>Not known</t>
  </si>
  <si>
    <t>White</t>
  </si>
  <si>
    <t>Black</t>
  </si>
  <si>
    <t>Asian</t>
  </si>
  <si>
    <t>Mixed</t>
  </si>
  <si>
    <t>Other</t>
  </si>
  <si>
    <t>Not Known</t>
  </si>
  <si>
    <t>O1</t>
  </si>
  <si>
    <t>Outcome</t>
  </si>
  <si>
    <t>Number of new consultant-led outpatient appointments for patients in the cohort</t>
  </si>
  <si>
    <t>Number of new consultant-led outpatient appointments  per 1,000 patients in the cohort</t>
  </si>
  <si>
    <t>Number of follow up consultant-led outpatient appointments for patients in the cohort</t>
  </si>
  <si>
    <t>Number of follow up consultant-led outpatient appointments  per 1,000 patients in the cohort</t>
  </si>
  <si>
    <t>Number of  consultant-led outpatient procedures  for patients in the cohort</t>
  </si>
  <si>
    <t>Number of  consultant-led outpatient procedures   per 1,000 patients in the cohort</t>
  </si>
  <si>
    <t>O2</t>
  </si>
  <si>
    <t>Number of specific acute non-elective spells in the period with a length of stay of zero days for patients in the cohort</t>
  </si>
  <si>
    <t>Number of specific acute non-elective spells in the period with a length of stay of zero days per 1,000 patients in the cohort</t>
  </si>
  <si>
    <t>Number of specific acute non-elective spells in the period with a length of stay of one or more days for patients in the cohort</t>
  </si>
  <si>
    <t>Number of specific acute non-elective spells in the period with a length of one or more days per 1,000 patients in the cohort</t>
  </si>
  <si>
    <t>O3</t>
  </si>
  <si>
    <t>Number of inpatient bed days per 1,000 patients in the cohort</t>
  </si>
  <si>
    <t>O4</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</si>
  <si>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</si>
  <si>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</si>
  <si>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</si>
  <si>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</si>
  <si>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</si>
  <si>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</si>
  <si>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</si>
  <si>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</si>
  <si>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O5</t>
  </si>
  <si>
    <t>Number of A&amp;E attendances at a type 1 department in the cohort</t>
  </si>
  <si>
    <t>Number of A&amp;E attendances at a type 1 department  per 1,000 patients in the cohort</t>
  </si>
  <si>
    <t>Number of A&amp;E attendances at an other type department in the cohort</t>
  </si>
  <si>
    <t>Number of A&amp;E attendances at an other type department  per 1,000 patients in the cohort</t>
  </si>
  <si>
    <t>O6</t>
  </si>
  <si>
    <t>Number of appointments in general practice and Primary Care Networks per 1,000 patients in the cohort</t>
  </si>
  <si>
    <t>Number of Community Care Contacts attended for patients in the cohort</t>
  </si>
  <si>
    <t>Number of Community Care Contacts attended per 1,000 patients in the cohort</t>
  </si>
  <si>
    <t>P1</t>
  </si>
  <si>
    <t>Process</t>
  </si>
  <si>
    <t>Month</t>
  </si>
  <si>
    <t>Reporting period start</t>
  </si>
  <si>
    <t>Reporting period end</t>
  </si>
  <si>
    <t>Initial submission date</t>
  </si>
  <si>
    <t>Initial report due</t>
  </si>
  <si>
    <t>Data second submission date</t>
  </si>
  <si>
    <t>Final report date</t>
  </si>
  <si>
    <t>Numerator</t>
  </si>
  <si>
    <t>Denominator</t>
  </si>
  <si>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and PRIMARY PROCEDURE (OPCS) IS NULL for patients in the NNHIP cohort
</t>
    </r>
    <r>
      <rPr>
        <b/>
        <sz val="11"/>
        <color theme="1"/>
        <rFont val="Aptos"/>
        <family val="2"/>
      </rPr>
      <t>Source</t>
    </r>
    <r>
      <rPr>
        <sz val="11"/>
        <color theme="1"/>
        <rFont val="Aptos"/>
        <family val="2"/>
      </rPr>
      <t>: SUS Outpatients</t>
    </r>
  </si>
  <si>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</si>
  <si>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and PRIMARY PROCEDURE (OPCS) IS NULL for patients in the NNHIP cohort
</t>
    </r>
    <r>
      <rPr>
        <b/>
        <sz val="11"/>
        <color theme="1"/>
        <rFont val="Aptos"/>
        <family val="2"/>
      </rPr>
      <t>Source</t>
    </r>
    <r>
      <rPr>
        <sz val="11"/>
        <color theme="1"/>
        <rFont val="Aptos"/>
        <family val="2"/>
      </rPr>
      <t>: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</si>
  <si>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ATTENDED OR DID NOT ATTEND CODE equal to 5 OR 6 and PRIMARY PROCEDURE (OPCS) IS NOT NULL for patients in the NNHIP cohort
</t>
    </r>
    <r>
      <rPr>
        <b/>
        <sz val="11"/>
        <color theme="1"/>
        <rFont val="Aptos"/>
        <family val="2"/>
      </rPr>
      <t>Source</t>
    </r>
    <r>
      <rPr>
        <sz val="11"/>
        <color theme="1"/>
        <rFont val="Aptos"/>
        <family val="2"/>
      </rPr>
      <t>: SUS Outpatients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</si>
  <si>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is in list  for patients in the NNHIP cohort
</t>
    </r>
    <r>
      <rPr>
        <b/>
        <sz val="11"/>
        <color theme="1"/>
        <rFont val="Aptos"/>
        <family val="2"/>
      </rPr>
      <t>Source:</t>
    </r>
    <r>
      <rPr>
        <sz val="11"/>
        <color theme="1"/>
        <rFont val="Aptos"/>
        <family val="2"/>
      </rPr>
      <t xml:space="preserve"> SUS Inpatients</t>
    </r>
  </si>
  <si>
    <t>Number of specific acute non-elective spells in the period with a length of stay of one or more days</t>
  </si>
  <si>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is in list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</si>
  <si>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</si>
  <si>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</si>
  <si>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</si>
  <si>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</si>
  <si>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</si>
  <si>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t>Number of A&amp;E attendances at a type 1 department per 1,000 patients in the cohort</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</si>
  <si>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</si>
  <si>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t>Number of A&amp;E attendances at an other type department per 1,000 patients in the cohort</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</si>
  <si>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</si>
  <si>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</si>
  <si>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</si>
  <si>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t xml:space="preserve">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</si>
  <si>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</si>
  <si>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</si>
  <si>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</si>
  <si>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</si>
  <si>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</si>
  <si>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</si>
  <si>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</si>
  <si>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</si>
  <si>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</si>
  <si>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</si>
  <si>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t>Project name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</si>
  <si>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</si>
  <si>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</si>
  <si>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</si>
  <si>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</si>
  <si>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</si>
  <si>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</si>
  <si>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</si>
  <si>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</si>
  <si>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</si>
  <si>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</si>
  <si>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</si>
  <si>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</si>
  <si>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</si>
  <si>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</si>
  <si>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</si>
  <si>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</si>
  <si>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</si>
  <si>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</si>
  <si>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</si>
  <si>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</si>
  <si>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</si>
  <si>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</si>
  <si>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</si>
  <si>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</si>
  <si>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</si>
  <si>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</si>
  <si>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</si>
  <si>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</si>
  <si>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</si>
  <si>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</si>
  <si>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</si>
  <si>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</si>
  <si>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</si>
  <si>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</si>
  <si>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</si>
  <si>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</si>
  <si>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</si>
  <si>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</si>
  <si>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</si>
  <si>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</si>
  <si>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</si>
  <si>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</si>
  <si>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</si>
  <si>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r>
      <t xml:space="preserve">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t>
    </r>
    <r>
      <rPr>
        <b/>
        <sz val="10"/>
        <color rgb="FFFF0000"/>
        <rFont val="Aptos"/>
        <family val="2"/>
      </rPr>
      <t xml:space="preserve">To submit your data: Email your completed data collection template to: england.neighbourhoodhealthserviceteam@nhs.net and include ‘NNHIP data collection template submission’ in the subject line.
</t>
    </r>
    <r>
      <rPr>
        <b/>
        <sz val="10"/>
        <rFont val="Aptos"/>
        <family val="2"/>
      </rPr>
      <t xml:space="preserve">If you have any queries then please email @Mike Woodall (Strategy Unit, hosted by MLCSU)
</t>
    </r>
    <r>
      <rPr>
        <sz val="10"/>
        <rFont val="Aptos"/>
        <family val="2"/>
      </rPr>
      <t xml:space="preserve">
More detail on the requirements are shown below.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</si>
</sst>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6"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
      <sz val="10"/>
      <color theme="1"/>
      <name val="Aptos"/>
      <family val="2"/>
    </font>
    <font>
      <b/>
      <sz val="10"/>
      <color rgb="FFFF0000"/>
      <name val="Aptos"/>
      <family val="2"/>
    </font>
    <font>
      <b/>
      <sz val="10"/>
      <name val="Aptos"/>
      <family val="2"/>
    </font>
    <font>
      <sz val="10"/>
      <name val="Aptos"/>
      <family val="2"/>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49">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0" xfId="0" applyAlignment="1">
      <alignment vertical="center"/>
    </xf>
    <xf numFmtId="14" fontId="0" fillId="0" borderId="1" xfId="0" applyNumberFormat="1" applyBorder="1" applyAlignment="1">
      <alignment horizontal="center" vertical="center"/>
    </xf>
    <xf numFmtId="0" fontId="0" fillId="0" borderId="0" xfId="0" applyAlignment="1">
      <alignment horizontal="center" vertical="center"/>
    </xf>
    <xf numFmtId="14" fontId="0" fillId="7" borderId="1" xfId="0" applyNumberFormat="1" applyFill="1" applyBorder="1" applyAlignment="1">
      <alignment horizontal="center" vertical="center"/>
    </xf>
    <xf numFmtId="17" fontId="0" fillId="0" borderId="1" xfId="0" applyNumberFormat="1" applyBorder="1" applyAlignment="1">
      <alignment horizontal="center" vertical="center"/>
    </xf>
    <xf numFmtId="17" fontId="0" fillId="7" borderId="1" xfId="0" applyNumberFormat="1" applyFill="1" applyBorder="1" applyAlignment="1">
      <alignment horizontal="center" vertical="center"/>
    </xf>
    <xf numFmtId="0" fontId="0" fillId="0" borderId="0" xfId="0" applyAlignment="1">
      <alignment horizontal="left" vertical="center"/>
    </xf>
    <xf numFmtId="0" fontId="2" fillId="0" borderId="0" xfId="0" applyFont="1"/>
    <xf numFmtId="0" fontId="0" fillId="4" borderId="1" xfId="0" applyFill="1" applyBorder="1" applyAlignment="1">
      <alignment vertical="center"/>
    </xf>
    <xf numFmtId="0" fontId="0" fillId="0" borderId="1" xfId="0" applyBorder="1" applyAlignment="1">
      <alignment vertical="center"/>
    </xf>
    <xf numFmtId="0" fontId="4" fillId="3" borderId="0" xfId="0" applyFont="1" applyFill="1" applyAlignment="1">
      <alignment horizontal="right" vertical="center"/>
    </xf>
    <xf numFmtId="0" fontId="0" fillId="4" borderId="1" xfId="0" applyFill="1" applyBorder="1" applyAlignment="1">
      <alignment vertical="center" wrapText="1"/>
    </xf>
    <xf numFmtId="0" fontId="0" fillId="5" borderId="1" xfId="0" applyFill="1" applyBorder="1" applyAlignment="1">
      <alignment vertical="center"/>
    </xf>
    <xf numFmtId="0" fontId="2" fillId="4" borderId="1" xfId="0" applyFont="1" applyFill="1" applyBorder="1" applyAlignment="1">
      <alignment vertical="center" wrapText="1"/>
    </xf>
    <xf numFmtId="0" fontId="2" fillId="0" borderId="1" xfId="0" applyFont="1" applyBorder="1" applyAlignment="1">
      <alignment vertical="center"/>
    </xf>
    <xf numFmtId="0" fontId="0" fillId="0" borderId="0" xfId="0" applyAlignment="1">
      <alignment vertical="center" wrapText="1"/>
    </xf>
    <xf numFmtId="17" fontId="0" fillId="0" borderId="0" xfId="0" applyNumberFormat="1" applyAlignment="1">
      <alignment horizontal="center"/>
    </xf>
    <xf numFmtId="0" fontId="0" fillId="0" borderId="0" xfId="0" applyAlignment="1">
      <alignment horizontal="center"/>
    </xf>
    <xf numFmtId="0" fontId="0" fillId="0" borderId="1" xfId="0" applyBorder="1" applyAlignment="1">
      <alignment vertical="center"/>
    </xf>
    <xf numFmtId="0" fontId="0" fillId="0" borderId="0" xfId="0" applyAlignment="1">
      <alignment vertical="center"/>
    </xf>
    <xf numFmtId="0" fontId="1" fillId="2" borderId="1" xfId="0" applyFont="1" applyFill="1" applyBorder="1" applyAlignment="1">
      <alignment horizontal="center" vertical="center"/>
    </xf>
    <xf numFmtId="0" fontId="0" fillId="4" borderId="1" xfId="0" applyFill="1" applyBorder="1" applyAlignment="1">
      <alignment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xf numFmtId="0" fontId="6" fillId="0" borderId="0" xfId="0" applyFont="1" applyAlignment="1">
      <alignment horizontal="center" vertical="center"/>
    </xf>
    <xf numFmtId="0" fontId="2" fillId="0" borderId="0" xfId="0" applyFont="1" applyAlignment="1">
      <alignment horizontal="center" vertical="center"/>
    </xf>
    <xf numFmtId="0" fontId="12" fillId="0" borderId="0" xfId="0" applyFont="1" applyAlignment="1">
      <alignment horizontal="left" vertical="center" wrapText="1"/>
    </xf>
    <xf numFmtId="0" fontId="0" fillId="5" borderId="1" xfId="0" applyFill="1" applyBorder="1" applyAlignment="1">
      <alignment horizontal="left" vertical="center" wrapText="1"/>
    </xf>
    <xf numFmtId="0" fontId="0" fillId="5" borderId="1" xfId="0" applyFill="1" applyBorder="1" applyAlignment="1">
      <alignment vertical="center" wrapText="1"/>
    </xf>
    <xf numFmtId="0" fontId="0" fillId="0" borderId="0" xfId="0" applyAlignment="1">
      <alignment vertical="center" wrapText="1"/>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xf>
    <xf numFmtId="0" fontId="5" fillId="0" borderId="1" xfId="1" applyBorder="1" applyAlignment="1">
      <alignment vertical="center" wrapText="1"/>
    </xf>
    <xf numFmtId="0" fontId="0" fillId="0" borderId="1" xfId="0" applyBorder="1" applyAlignment="1">
      <alignment vertical="center" wrapText="1"/>
    </xf>
    <xf numFmtId="0" fontId="0" fillId="4" borderId="1" xfId="0" applyFill="1" applyBorder="1" applyAlignment="1">
      <alignment vertical="center" wrapText="1"/>
    </xf>
    <xf numFmtId="0" fontId="0" fillId="0" borderId="1" xfId="0" applyBorder="1" applyAlignment="1">
      <alignment vertical="center" wrapText="1"/>
    </xf>
    <xf numFmtId="0" fontId="2" fillId="4" borderId="0" xfId="0" applyFont="1" applyFill="1" applyAlignment="1">
      <alignment vertical="center" wrapText="1"/>
    </xf>
    <xf numFmtId="0" fontId="2" fillId="0" borderId="0" xfId="0" applyFont="1" applyAlignment="1">
      <alignment vertical="center"/>
    </xf>
    <xf numFmtId="0" fontId="0" fillId="4" borderId="0" xfId="0" applyFill="1" applyAlignment="1">
      <alignment vertical="center" wrapText="1"/>
    </xf>
    <xf numFmtId="0" fontId="5" fillId="0" borderId="1" xfId="1" applyBorder="1" applyAlignment="1">
      <alignment vertical="center"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8"/>
  <sheetViews>
    <sheetView tabSelected="1" zoomScale="130" zoomScaleNormal="130" workbookViewId="0">
      <selection activeCell="H3" sqref="H3"/>
    </sheetView>
  </sheetViews>
  <sheetFormatPr defaultRowHeight="15" x14ac:dyDescent="0.25"/>
  <cols>
    <col min="1" max="1" width="28.7109375" style="7" customWidth="1"/>
    <col min="2" max="2" width="36.85546875" style="7" customWidth="1"/>
    <col min="3" max="3" width="54.85546875" style="7" customWidth="1"/>
    <col min="4" max="16384" width="9.140625" style="7"/>
  </cols>
  <sheetData>
    <row r="1" spans="1:3" ht="18.75" x14ac:dyDescent="0.25">
      <c r="A1" s="33" t="s">
        <v>0</v>
      </c>
      <c r="B1" s="33"/>
      <c r="C1" s="33"/>
    </row>
    <row r="2" spans="1:3" x14ac:dyDescent="0.25">
      <c r="A2" s="34"/>
      <c r="B2" s="34"/>
      <c r="C2" s="34"/>
    </row>
    <row r="3" spans="1:3" ht="205.5" customHeight="1" x14ac:dyDescent="0.25">
      <c r="A3" s="35" t="s">
        <v>179</v>
      </c>
      <c r="B3" s="35"/>
      <c r="C3" s="35"/>
    </row>
    <row r="5" spans="1:3" x14ac:dyDescent="0.25">
      <c r="A5" s="7" t="s">
        <v>1</v>
      </c>
    </row>
    <row r="6" spans="1:3" x14ac:dyDescent="0.25">
      <c r="A6" s="17" t="s">
        <v>2</v>
      </c>
      <c r="B6" s="36"/>
      <c r="C6" s="37"/>
    </row>
    <row r="7" spans="1:3" x14ac:dyDescent="0.25">
      <c r="A7" s="17" t="s">
        <v>3</v>
      </c>
      <c r="B7" s="36"/>
      <c r="C7" s="37"/>
    </row>
    <row r="9" spans="1:3" x14ac:dyDescent="0.25">
      <c r="A9" s="38" t="s">
        <v>4</v>
      </c>
      <c r="B9" s="38"/>
      <c r="C9" s="38"/>
    </row>
    <row r="11" spans="1:3" x14ac:dyDescent="0.25">
      <c r="A11" s="39" t="s">
        <v>5</v>
      </c>
      <c r="B11" s="40" t="s">
        <v>6</v>
      </c>
      <c r="C11" s="40"/>
    </row>
    <row r="12" spans="1:3" x14ac:dyDescent="0.25">
      <c r="A12" s="41" t="s">
        <v>7</v>
      </c>
      <c r="B12" s="42" t="s">
        <v>8</v>
      </c>
      <c r="C12" s="42"/>
    </row>
    <row r="14" spans="1:3" x14ac:dyDescent="0.25">
      <c r="A14" s="7" t="s">
        <v>9</v>
      </c>
    </row>
    <row r="16" spans="1:3" x14ac:dyDescent="0.25">
      <c r="A16" s="39" t="s">
        <v>10</v>
      </c>
      <c r="B16" s="40" t="s">
        <v>6</v>
      </c>
      <c r="C16" s="40"/>
    </row>
    <row r="17" spans="1:3" ht="45" x14ac:dyDescent="0.25">
      <c r="A17" s="18" t="s">
        <v>11</v>
      </c>
      <c r="B17" s="43" t="s">
        <v>12</v>
      </c>
      <c r="C17" s="43"/>
    </row>
    <row r="18" spans="1:3" ht="30" x14ac:dyDescent="0.25">
      <c r="A18" s="18" t="s">
        <v>13</v>
      </c>
      <c r="B18" s="43" t="s">
        <v>14</v>
      </c>
      <c r="C18" s="43"/>
    </row>
    <row r="19" spans="1:3" ht="30" x14ac:dyDescent="0.25">
      <c r="A19" s="18" t="s">
        <v>15</v>
      </c>
      <c r="B19" s="43" t="s">
        <v>16</v>
      </c>
      <c r="C19" s="43"/>
    </row>
    <row r="20" spans="1:3" x14ac:dyDescent="0.25">
      <c r="A20" s="18" t="s">
        <v>17</v>
      </c>
      <c r="B20" s="43" t="s">
        <v>18</v>
      </c>
      <c r="C20" s="43"/>
    </row>
    <row r="21" spans="1:3" ht="30" x14ac:dyDescent="0.25">
      <c r="A21" s="18" t="s">
        <v>19</v>
      </c>
      <c r="B21" s="43" t="s">
        <v>20</v>
      </c>
      <c r="C21" s="43"/>
    </row>
    <row r="22" spans="1:3" ht="35.450000000000003" customHeight="1" x14ac:dyDescent="0.25">
      <c r="A22" s="18" t="s">
        <v>21</v>
      </c>
      <c r="B22" s="43" t="s">
        <v>22</v>
      </c>
      <c r="C22" s="43"/>
    </row>
    <row r="23" spans="1:3" ht="30" x14ac:dyDescent="0.25">
      <c r="A23" s="18" t="s">
        <v>23</v>
      </c>
      <c r="B23" s="43" t="s">
        <v>24</v>
      </c>
      <c r="C23" s="43"/>
    </row>
    <row r="24" spans="1:3" ht="30" x14ac:dyDescent="0.25">
      <c r="A24" s="18" t="s">
        <v>25</v>
      </c>
      <c r="B24" s="43" t="s">
        <v>26</v>
      </c>
      <c r="C24" s="43"/>
    </row>
    <row r="25" spans="1:3" ht="30" x14ac:dyDescent="0.25">
      <c r="A25" s="18" t="s">
        <v>27</v>
      </c>
      <c r="B25" s="43" t="s">
        <v>28</v>
      </c>
      <c r="C25" s="43"/>
    </row>
    <row r="26" spans="1:3" ht="30" x14ac:dyDescent="0.25">
      <c r="A26" s="44" t="s">
        <v>29</v>
      </c>
      <c r="B26" s="42" t="s">
        <v>30</v>
      </c>
      <c r="C26" s="42"/>
    </row>
    <row r="27" spans="1:3" x14ac:dyDescent="0.25">
      <c r="A27" s="22"/>
      <c r="B27" s="22"/>
      <c r="C27" s="22"/>
    </row>
    <row r="28" spans="1:3" x14ac:dyDescent="0.25">
      <c r="A28" s="45" t="s">
        <v>31</v>
      </c>
      <c r="B28" s="46"/>
      <c r="C28" s="46"/>
    </row>
    <row r="29" spans="1:3" x14ac:dyDescent="0.25">
      <c r="A29" s="47" t="s">
        <v>32</v>
      </c>
      <c r="B29" s="26"/>
      <c r="C29" s="26"/>
    </row>
    <row r="30" spans="1:3" x14ac:dyDescent="0.25">
      <c r="A30" s="22"/>
      <c r="B30" s="22"/>
      <c r="C30" s="22"/>
    </row>
    <row r="31" spans="1:3" x14ac:dyDescent="0.25">
      <c r="A31" s="47" t="s">
        <v>33</v>
      </c>
      <c r="B31" s="26"/>
      <c r="C31" s="26"/>
    </row>
    <row r="33" spans="1:3" x14ac:dyDescent="0.25">
      <c r="A33" s="7" t="s">
        <v>34</v>
      </c>
    </row>
    <row r="35" spans="1:3" x14ac:dyDescent="0.25">
      <c r="A35" s="39" t="s">
        <v>35</v>
      </c>
      <c r="B35" s="40" t="s">
        <v>6</v>
      </c>
      <c r="C35" s="40"/>
    </row>
    <row r="36" spans="1:3" x14ac:dyDescent="0.25">
      <c r="A36" s="16" t="s">
        <v>36</v>
      </c>
      <c r="B36" s="42" t="s">
        <v>37</v>
      </c>
      <c r="C36" s="42"/>
    </row>
    <row r="37" spans="1:3" x14ac:dyDescent="0.25">
      <c r="A37" s="16" t="s">
        <v>38</v>
      </c>
      <c r="B37" s="42" t="s">
        <v>39</v>
      </c>
      <c r="C37" s="42"/>
    </row>
    <row r="38" spans="1:3" x14ac:dyDescent="0.25">
      <c r="A38" s="16" t="s">
        <v>40</v>
      </c>
      <c r="B38" s="48" t="s">
        <v>41</v>
      </c>
      <c r="C38" s="48"/>
    </row>
  </sheetData>
  <mergeCells count="25">
    <mergeCell ref="B16:C16"/>
    <mergeCell ref="B35:C35"/>
    <mergeCell ref="B36:C36"/>
    <mergeCell ref="B37:C37"/>
    <mergeCell ref="B19:C19"/>
    <mergeCell ref="B24:C24"/>
    <mergeCell ref="A28:C28"/>
    <mergeCell ref="A29:C29"/>
    <mergeCell ref="B38:C38"/>
    <mergeCell ref="B25:C25"/>
    <mergeCell ref="B26:C26"/>
    <mergeCell ref="B17:C17"/>
    <mergeCell ref="B18:C18"/>
    <mergeCell ref="B20:C20"/>
    <mergeCell ref="B21:C21"/>
    <mergeCell ref="B22:C22"/>
    <mergeCell ref="B23:C23"/>
    <mergeCell ref="A31:C31"/>
    <mergeCell ref="A1:C1"/>
    <mergeCell ref="A9:C9"/>
    <mergeCell ref="B11:C11"/>
    <mergeCell ref="B12:C12"/>
    <mergeCell ref="A3:C3"/>
    <mergeCell ref="B6:C6"/>
    <mergeCell ref="B7:C7"/>
  </mergeCells>
  <hyperlinks>
    <hyperlink ref="A12" location="SubmissionTemplate!A1" display="SubmissionTemplate" xr:uid="{DA5DF8CA-1062-49CB-90F8-CB6FFDD308BC}"/>
    <hyperlink ref="B38:C38"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Z48"/>
  <sheetViews>
    <sheetView zoomScale="96" zoomScaleNormal="96" workbookViewId="0">
      <pane xSplit="3" ySplit="5" topLeftCell="D6" activePane="bottomRight" state="frozen"/>
      <selection pane="topRight" activeCell="D1" sqref="D1"/>
      <selection pane="bottomLeft" activeCell="A6" sqref="A6"/>
      <selection pane="bottomRight" activeCell="B1" sqref="B1:C1"/>
    </sheetView>
  </sheetViews>
  <sheetFormatPr defaultRowHeight="15" x14ac:dyDescent="0.25"/>
  <cols>
    <col min="1" max="1" width="15.5703125" style="7" customWidth="1"/>
    <col min="2" max="2" width="10.85546875" style="7" customWidth="1"/>
    <col min="3" max="3" width="55.42578125" style="22" customWidth="1"/>
    <col min="4" max="13" width="9.140625" style="7"/>
    <col min="14" max="14" width="9.5703125" style="7" bestFit="1" customWidth="1"/>
    <col min="15" max="19" width="9.140625" style="7"/>
    <col min="20" max="20" width="10.85546875" style="7" customWidth="1"/>
    <col min="21" max="25" width="9.140625" style="7"/>
    <col min="26" max="26" width="9.7109375" style="7" bestFit="1" customWidth="1"/>
    <col min="27" max="16384" width="9.140625" style="7"/>
  </cols>
  <sheetData>
    <row r="1" spans="1:26" ht="21" customHeight="1" x14ac:dyDescent="0.25">
      <c r="A1" s="17" t="s">
        <v>2</v>
      </c>
      <c r="B1" s="26">
        <f>Instructions!B6</f>
        <v>0</v>
      </c>
      <c r="C1" s="26"/>
    </row>
    <row r="2" spans="1:26" ht="21" customHeight="1" x14ac:dyDescent="0.25">
      <c r="A2" s="17" t="s">
        <v>3</v>
      </c>
      <c r="B2" s="26">
        <f>Instructions!B7</f>
        <v>0</v>
      </c>
      <c r="C2" s="26"/>
    </row>
    <row r="4" spans="1:26" x14ac:dyDescent="0.25">
      <c r="A4" s="27" t="s">
        <v>42</v>
      </c>
      <c r="B4" s="27" t="s">
        <v>43</v>
      </c>
      <c r="C4" s="27" t="s">
        <v>44</v>
      </c>
      <c r="D4" s="27" t="s">
        <v>45</v>
      </c>
      <c r="E4" s="27" t="s">
        <v>36</v>
      </c>
      <c r="F4" s="27"/>
      <c r="G4" s="27"/>
      <c r="H4" s="27"/>
      <c r="I4" s="27"/>
      <c r="J4" s="27"/>
      <c r="K4" s="27"/>
      <c r="L4" s="27"/>
      <c r="M4" s="27"/>
      <c r="N4" s="27"/>
      <c r="O4" s="27" t="s">
        <v>38</v>
      </c>
      <c r="P4" s="27"/>
      <c r="Q4" s="27"/>
      <c r="R4" s="27"/>
      <c r="S4" s="27"/>
      <c r="T4" s="27"/>
      <c r="U4" s="27" t="s">
        <v>40</v>
      </c>
      <c r="V4" s="27"/>
      <c r="W4" s="27"/>
      <c r="X4" s="27"/>
      <c r="Y4" s="27"/>
      <c r="Z4" s="27"/>
    </row>
    <row r="5" spans="1:26" x14ac:dyDescent="0.25">
      <c r="A5" s="27" t="s">
        <v>42</v>
      </c>
      <c r="B5" s="27" t="s">
        <v>43</v>
      </c>
      <c r="C5" s="27" t="s">
        <v>44</v>
      </c>
      <c r="D5" s="27"/>
      <c r="E5" s="1" t="s">
        <v>46</v>
      </c>
      <c r="F5" s="1" t="s">
        <v>47</v>
      </c>
      <c r="G5" s="1" t="s">
        <v>48</v>
      </c>
      <c r="H5" s="1" t="s">
        <v>49</v>
      </c>
      <c r="I5" s="1" t="s">
        <v>50</v>
      </c>
      <c r="J5" s="1" t="s">
        <v>51</v>
      </c>
      <c r="K5" s="1" t="s">
        <v>52</v>
      </c>
      <c r="L5" s="1" t="s">
        <v>53</v>
      </c>
      <c r="M5" s="1" t="s">
        <v>54</v>
      </c>
      <c r="N5" s="1" t="s">
        <v>55</v>
      </c>
      <c r="O5" s="1" t="s">
        <v>56</v>
      </c>
      <c r="P5" s="1" t="s">
        <v>57</v>
      </c>
      <c r="Q5" s="1" t="s">
        <v>58</v>
      </c>
      <c r="R5" s="1" t="s">
        <v>59</v>
      </c>
      <c r="S5" s="1" t="s">
        <v>60</v>
      </c>
      <c r="T5" s="1" t="s">
        <v>55</v>
      </c>
      <c r="U5" s="1">
        <v>1</v>
      </c>
      <c r="V5" s="1">
        <v>2</v>
      </c>
      <c r="W5" s="1">
        <v>3</v>
      </c>
      <c r="X5" s="1">
        <v>4</v>
      </c>
      <c r="Y5" s="1">
        <v>5</v>
      </c>
      <c r="Z5" s="1" t="s">
        <v>61</v>
      </c>
    </row>
    <row r="6" spans="1:26" ht="30" x14ac:dyDescent="0.25">
      <c r="A6" s="25" t="s">
        <v>62</v>
      </c>
      <c r="B6" s="25" t="s">
        <v>63</v>
      </c>
      <c r="C6" s="18" t="s">
        <v>64</v>
      </c>
      <c r="D6" s="19"/>
      <c r="E6" s="19"/>
      <c r="F6" s="19"/>
      <c r="G6" s="19"/>
      <c r="H6" s="19"/>
      <c r="I6" s="19"/>
      <c r="J6" s="19"/>
      <c r="K6" s="19"/>
      <c r="L6" s="19"/>
      <c r="M6" s="19"/>
      <c r="N6" s="19"/>
      <c r="O6" s="19"/>
      <c r="P6" s="19"/>
      <c r="Q6" s="19"/>
      <c r="R6" s="19"/>
      <c r="S6" s="19"/>
      <c r="T6" s="19"/>
      <c r="U6" s="19"/>
      <c r="V6" s="19"/>
      <c r="W6" s="19"/>
      <c r="X6" s="19"/>
      <c r="Y6" s="19"/>
      <c r="Z6" s="19"/>
    </row>
    <row r="7" spans="1:26" x14ac:dyDescent="0.25">
      <c r="A7" s="25"/>
      <c r="B7" s="25"/>
      <c r="C7" s="18" t="s">
        <v>27</v>
      </c>
      <c r="D7" s="19"/>
      <c r="E7" s="19"/>
      <c r="F7" s="19"/>
      <c r="G7" s="19"/>
      <c r="H7" s="19"/>
      <c r="I7" s="19"/>
      <c r="J7" s="19"/>
      <c r="K7" s="19"/>
      <c r="L7" s="19"/>
      <c r="M7" s="19"/>
      <c r="N7" s="19"/>
      <c r="O7" s="19"/>
      <c r="P7" s="19"/>
      <c r="Q7" s="19"/>
      <c r="R7" s="19"/>
      <c r="S7" s="19"/>
      <c r="T7" s="19"/>
      <c r="U7" s="19"/>
      <c r="V7" s="19"/>
      <c r="W7" s="19"/>
      <c r="X7" s="19"/>
      <c r="Y7" s="19"/>
      <c r="Z7" s="19"/>
    </row>
    <row r="8" spans="1:26" ht="30" x14ac:dyDescent="0.25">
      <c r="A8" s="25"/>
      <c r="B8" s="25"/>
      <c r="C8" s="20" t="s">
        <v>65</v>
      </c>
      <c r="D8" s="21">
        <f t="shared" ref="D8:Z8" si="0">IFERROR(D6/D7*1000,0)</f>
        <v>0</v>
      </c>
      <c r="E8" s="21">
        <f t="shared" si="0"/>
        <v>0</v>
      </c>
      <c r="F8" s="21">
        <f t="shared" si="0"/>
        <v>0</v>
      </c>
      <c r="G8" s="21">
        <f t="shared" si="0"/>
        <v>0</v>
      </c>
      <c r="H8" s="21">
        <f t="shared" si="0"/>
        <v>0</v>
      </c>
      <c r="I8" s="21">
        <f t="shared" si="0"/>
        <v>0</v>
      </c>
      <c r="J8" s="21">
        <f t="shared" si="0"/>
        <v>0</v>
      </c>
      <c r="K8" s="21">
        <f t="shared" si="0"/>
        <v>0</v>
      </c>
      <c r="L8" s="21">
        <f t="shared" ref="L8" si="1">IFERROR(L6/L7*1000,0)</f>
        <v>0</v>
      </c>
      <c r="M8" s="21">
        <f t="shared" si="0"/>
        <v>0</v>
      </c>
      <c r="N8" s="21">
        <f t="shared" si="0"/>
        <v>0</v>
      </c>
      <c r="O8" s="21">
        <f t="shared" si="0"/>
        <v>0</v>
      </c>
      <c r="P8" s="21">
        <f t="shared" si="0"/>
        <v>0</v>
      </c>
      <c r="Q8" s="21">
        <f t="shared" si="0"/>
        <v>0</v>
      </c>
      <c r="R8" s="21">
        <f t="shared" si="0"/>
        <v>0</v>
      </c>
      <c r="S8" s="21">
        <f t="shared" si="0"/>
        <v>0</v>
      </c>
      <c r="T8" s="21">
        <f t="shared" si="0"/>
        <v>0</v>
      </c>
      <c r="U8" s="21">
        <f t="shared" si="0"/>
        <v>0</v>
      </c>
      <c r="V8" s="21">
        <f t="shared" si="0"/>
        <v>0</v>
      </c>
      <c r="W8" s="21">
        <f t="shared" si="0"/>
        <v>0</v>
      </c>
      <c r="X8" s="21">
        <f t="shared" si="0"/>
        <v>0</v>
      </c>
      <c r="Y8" s="21">
        <f t="shared" si="0"/>
        <v>0</v>
      </c>
      <c r="Z8" s="21">
        <f t="shared" si="0"/>
        <v>0</v>
      </c>
    </row>
    <row r="9" spans="1:26" ht="30" x14ac:dyDescent="0.25">
      <c r="A9" s="25" t="s">
        <v>62</v>
      </c>
      <c r="B9" s="25" t="s">
        <v>63</v>
      </c>
      <c r="C9" s="18" t="s">
        <v>66</v>
      </c>
      <c r="D9" s="19"/>
      <c r="E9" s="19"/>
      <c r="F9" s="19"/>
      <c r="G9" s="19"/>
      <c r="H9" s="19"/>
      <c r="I9" s="19"/>
      <c r="J9" s="19"/>
      <c r="K9" s="19"/>
      <c r="L9" s="19"/>
      <c r="M9" s="19"/>
      <c r="N9" s="19"/>
      <c r="O9" s="19"/>
      <c r="P9" s="19"/>
      <c r="Q9" s="19"/>
      <c r="R9" s="19"/>
      <c r="S9" s="19"/>
      <c r="T9" s="19"/>
      <c r="U9" s="19"/>
      <c r="V9" s="19"/>
      <c r="W9" s="19"/>
      <c r="X9" s="19"/>
      <c r="Y9" s="19"/>
      <c r="Z9" s="19"/>
    </row>
    <row r="10" spans="1:26" x14ac:dyDescent="0.25">
      <c r="A10" s="25"/>
      <c r="B10" s="25"/>
      <c r="C10" s="18" t="s">
        <v>27</v>
      </c>
      <c r="D10" s="19"/>
      <c r="E10" s="19"/>
      <c r="F10" s="19"/>
      <c r="G10" s="19"/>
      <c r="H10" s="19"/>
      <c r="I10" s="19"/>
      <c r="J10" s="19"/>
      <c r="K10" s="19"/>
      <c r="L10" s="19"/>
      <c r="M10" s="19"/>
      <c r="N10" s="19"/>
      <c r="O10" s="19"/>
      <c r="P10" s="19"/>
      <c r="Q10" s="19"/>
      <c r="R10" s="19"/>
      <c r="S10" s="19"/>
      <c r="T10" s="19"/>
      <c r="U10" s="19"/>
      <c r="V10" s="19"/>
      <c r="W10" s="19"/>
      <c r="X10" s="19"/>
      <c r="Y10" s="19"/>
      <c r="Z10" s="19"/>
    </row>
    <row r="11" spans="1:26" ht="30" x14ac:dyDescent="0.25">
      <c r="A11" s="25"/>
      <c r="B11" s="25"/>
      <c r="C11" s="20" t="s">
        <v>67</v>
      </c>
      <c r="D11" s="21">
        <f t="shared" ref="D11:Z11" si="2">IFERROR(D9/D10*1000,0)</f>
        <v>0</v>
      </c>
      <c r="E11" s="21">
        <f t="shared" si="2"/>
        <v>0</v>
      </c>
      <c r="F11" s="21">
        <f t="shared" si="2"/>
        <v>0</v>
      </c>
      <c r="G11" s="21">
        <f t="shared" si="2"/>
        <v>0</v>
      </c>
      <c r="H11" s="21">
        <f t="shared" si="2"/>
        <v>0</v>
      </c>
      <c r="I11" s="21">
        <f t="shared" si="2"/>
        <v>0</v>
      </c>
      <c r="J11" s="21">
        <f t="shared" si="2"/>
        <v>0</v>
      </c>
      <c r="K11" s="21">
        <f t="shared" si="2"/>
        <v>0</v>
      </c>
      <c r="L11" s="21">
        <f t="shared" ref="L11" si="3">IFERROR(L9/L10*1000,0)</f>
        <v>0</v>
      </c>
      <c r="M11" s="21">
        <f t="shared" si="2"/>
        <v>0</v>
      </c>
      <c r="N11" s="21">
        <f t="shared" si="2"/>
        <v>0</v>
      </c>
      <c r="O11" s="21">
        <f t="shared" si="2"/>
        <v>0</v>
      </c>
      <c r="P11" s="21">
        <f t="shared" si="2"/>
        <v>0</v>
      </c>
      <c r="Q11" s="21">
        <f t="shared" si="2"/>
        <v>0</v>
      </c>
      <c r="R11" s="21">
        <f t="shared" si="2"/>
        <v>0</v>
      </c>
      <c r="S11" s="21">
        <f t="shared" si="2"/>
        <v>0</v>
      </c>
      <c r="T11" s="21">
        <f t="shared" si="2"/>
        <v>0</v>
      </c>
      <c r="U11" s="21">
        <f t="shared" si="2"/>
        <v>0</v>
      </c>
      <c r="V11" s="21">
        <f t="shared" si="2"/>
        <v>0</v>
      </c>
      <c r="W11" s="21">
        <f t="shared" si="2"/>
        <v>0</v>
      </c>
      <c r="X11" s="21">
        <f t="shared" si="2"/>
        <v>0</v>
      </c>
      <c r="Y11" s="21">
        <f t="shared" si="2"/>
        <v>0</v>
      </c>
      <c r="Z11" s="21">
        <f t="shared" si="2"/>
        <v>0</v>
      </c>
    </row>
    <row r="12" spans="1:26" ht="30" x14ac:dyDescent="0.25">
      <c r="A12" s="25" t="s">
        <v>62</v>
      </c>
      <c r="B12" s="25" t="s">
        <v>63</v>
      </c>
      <c r="C12" s="18" t="s">
        <v>68</v>
      </c>
      <c r="D12" s="19"/>
      <c r="E12" s="19"/>
      <c r="F12" s="19"/>
      <c r="G12" s="19"/>
      <c r="H12" s="19"/>
      <c r="I12" s="19"/>
      <c r="J12" s="19"/>
      <c r="K12" s="19"/>
      <c r="L12" s="19"/>
      <c r="M12" s="19"/>
      <c r="N12" s="19"/>
      <c r="O12" s="19"/>
      <c r="P12" s="19"/>
      <c r="Q12" s="19"/>
      <c r="R12" s="19"/>
      <c r="S12" s="19"/>
      <c r="T12" s="19"/>
      <c r="U12" s="19"/>
      <c r="V12" s="19"/>
      <c r="W12" s="19"/>
      <c r="X12" s="19"/>
      <c r="Y12" s="19"/>
      <c r="Z12" s="19"/>
    </row>
    <row r="13" spans="1:26" x14ac:dyDescent="0.25">
      <c r="A13" s="25"/>
      <c r="B13" s="25"/>
      <c r="C13" s="18" t="s">
        <v>27</v>
      </c>
      <c r="D13" s="19"/>
      <c r="E13" s="19"/>
      <c r="F13" s="19"/>
      <c r="G13" s="19"/>
      <c r="H13" s="19"/>
      <c r="I13" s="19"/>
      <c r="J13" s="19"/>
      <c r="K13" s="19"/>
      <c r="L13" s="19"/>
      <c r="M13" s="19"/>
      <c r="N13" s="19"/>
      <c r="O13" s="19"/>
      <c r="P13" s="19"/>
      <c r="Q13" s="19"/>
      <c r="R13" s="19"/>
      <c r="S13" s="19"/>
      <c r="T13" s="19"/>
      <c r="U13" s="19"/>
      <c r="V13" s="19"/>
      <c r="W13" s="19"/>
      <c r="X13" s="19"/>
      <c r="Y13" s="19"/>
      <c r="Z13" s="19"/>
    </row>
    <row r="14" spans="1:26" ht="30" x14ac:dyDescent="0.25">
      <c r="A14" s="25"/>
      <c r="B14" s="25"/>
      <c r="C14" s="20" t="s">
        <v>69</v>
      </c>
      <c r="D14" s="21">
        <f t="shared" ref="D14:Z14" si="4">IFERROR(D12/D13*1000,0)</f>
        <v>0</v>
      </c>
      <c r="E14" s="21">
        <f t="shared" si="4"/>
        <v>0</v>
      </c>
      <c r="F14" s="21">
        <f t="shared" si="4"/>
        <v>0</v>
      </c>
      <c r="G14" s="21">
        <f t="shared" si="4"/>
        <v>0</v>
      </c>
      <c r="H14" s="21">
        <f t="shared" si="4"/>
        <v>0</v>
      </c>
      <c r="I14" s="21">
        <f t="shared" si="4"/>
        <v>0</v>
      </c>
      <c r="J14" s="21">
        <f t="shared" si="4"/>
        <v>0</v>
      </c>
      <c r="K14" s="21">
        <f t="shared" si="4"/>
        <v>0</v>
      </c>
      <c r="L14" s="21">
        <f t="shared" ref="L14" si="5">IFERROR(L12/L13*1000,0)</f>
        <v>0</v>
      </c>
      <c r="M14" s="21">
        <f t="shared" si="4"/>
        <v>0</v>
      </c>
      <c r="N14" s="21">
        <f t="shared" si="4"/>
        <v>0</v>
      </c>
      <c r="O14" s="21">
        <f t="shared" si="4"/>
        <v>0</v>
      </c>
      <c r="P14" s="21">
        <f t="shared" si="4"/>
        <v>0</v>
      </c>
      <c r="Q14" s="21">
        <f t="shared" si="4"/>
        <v>0</v>
      </c>
      <c r="R14" s="21">
        <f t="shared" si="4"/>
        <v>0</v>
      </c>
      <c r="S14" s="21">
        <f t="shared" si="4"/>
        <v>0</v>
      </c>
      <c r="T14" s="21">
        <f t="shared" si="4"/>
        <v>0</v>
      </c>
      <c r="U14" s="21">
        <f t="shared" si="4"/>
        <v>0</v>
      </c>
      <c r="V14" s="21">
        <f t="shared" si="4"/>
        <v>0</v>
      </c>
      <c r="W14" s="21">
        <f t="shared" si="4"/>
        <v>0</v>
      </c>
      <c r="X14" s="21">
        <f t="shared" si="4"/>
        <v>0</v>
      </c>
      <c r="Y14" s="21">
        <f t="shared" si="4"/>
        <v>0</v>
      </c>
      <c r="Z14" s="21">
        <f t="shared" si="4"/>
        <v>0</v>
      </c>
    </row>
    <row r="15" spans="1:26" ht="30" x14ac:dyDescent="0.25">
      <c r="A15" s="25" t="s">
        <v>70</v>
      </c>
      <c r="B15" s="25" t="s">
        <v>63</v>
      </c>
      <c r="C15" s="18" t="s">
        <v>71</v>
      </c>
      <c r="D15" s="19"/>
      <c r="E15" s="19"/>
      <c r="F15" s="19"/>
      <c r="G15" s="19"/>
      <c r="H15" s="19"/>
      <c r="I15" s="19"/>
      <c r="J15" s="19"/>
      <c r="K15" s="19"/>
      <c r="L15" s="19"/>
      <c r="M15" s="19"/>
      <c r="N15" s="19"/>
      <c r="O15" s="19"/>
      <c r="P15" s="19"/>
      <c r="Q15" s="19"/>
      <c r="R15" s="19"/>
      <c r="S15" s="19"/>
      <c r="T15" s="19"/>
      <c r="U15" s="19"/>
      <c r="V15" s="19"/>
      <c r="W15" s="19"/>
      <c r="X15" s="19"/>
      <c r="Y15" s="19"/>
      <c r="Z15" s="19"/>
    </row>
    <row r="16" spans="1:26" x14ac:dyDescent="0.25">
      <c r="A16" s="25"/>
      <c r="B16" s="25"/>
      <c r="C16" s="18" t="s">
        <v>27</v>
      </c>
      <c r="D16" s="16">
        <f t="shared" ref="D16:Z16" si="6">D7</f>
        <v>0</v>
      </c>
      <c r="E16" s="16">
        <f t="shared" si="6"/>
        <v>0</v>
      </c>
      <c r="F16" s="16">
        <f t="shared" si="6"/>
        <v>0</v>
      </c>
      <c r="G16" s="16">
        <f t="shared" si="6"/>
        <v>0</v>
      </c>
      <c r="H16" s="16">
        <f t="shared" si="6"/>
        <v>0</v>
      </c>
      <c r="I16" s="16">
        <f t="shared" si="6"/>
        <v>0</v>
      </c>
      <c r="J16" s="16">
        <f t="shared" si="6"/>
        <v>0</v>
      </c>
      <c r="K16" s="16">
        <f t="shared" si="6"/>
        <v>0</v>
      </c>
      <c r="L16" s="16">
        <f t="shared" ref="L16" si="7">L7</f>
        <v>0</v>
      </c>
      <c r="M16" s="16">
        <f t="shared" si="6"/>
        <v>0</v>
      </c>
      <c r="N16" s="16">
        <f t="shared" si="6"/>
        <v>0</v>
      </c>
      <c r="O16" s="16">
        <f t="shared" si="6"/>
        <v>0</v>
      </c>
      <c r="P16" s="16">
        <f t="shared" si="6"/>
        <v>0</v>
      </c>
      <c r="Q16" s="16">
        <f t="shared" si="6"/>
        <v>0</v>
      </c>
      <c r="R16" s="16">
        <f t="shared" si="6"/>
        <v>0</v>
      </c>
      <c r="S16" s="16">
        <f t="shared" si="6"/>
        <v>0</v>
      </c>
      <c r="T16" s="16">
        <f t="shared" si="6"/>
        <v>0</v>
      </c>
      <c r="U16" s="16">
        <f t="shared" si="6"/>
        <v>0</v>
      </c>
      <c r="V16" s="16">
        <f t="shared" si="6"/>
        <v>0</v>
      </c>
      <c r="W16" s="16">
        <f t="shared" si="6"/>
        <v>0</v>
      </c>
      <c r="X16" s="16">
        <f t="shared" si="6"/>
        <v>0</v>
      </c>
      <c r="Y16" s="16">
        <f t="shared" si="6"/>
        <v>0</v>
      </c>
      <c r="Z16" s="16">
        <f t="shared" si="6"/>
        <v>0</v>
      </c>
    </row>
    <row r="17" spans="1:26" ht="45" x14ac:dyDescent="0.25">
      <c r="A17" s="25"/>
      <c r="B17" s="25"/>
      <c r="C17" s="20" t="s">
        <v>72</v>
      </c>
      <c r="D17" s="21">
        <f t="shared" ref="D17:Z17" si="8">IFERROR(D15/D16*1000,0)</f>
        <v>0</v>
      </c>
      <c r="E17" s="21">
        <f t="shared" si="8"/>
        <v>0</v>
      </c>
      <c r="F17" s="21">
        <f t="shared" si="8"/>
        <v>0</v>
      </c>
      <c r="G17" s="21">
        <f t="shared" si="8"/>
        <v>0</v>
      </c>
      <c r="H17" s="21">
        <f t="shared" si="8"/>
        <v>0</v>
      </c>
      <c r="I17" s="21">
        <f t="shared" si="8"/>
        <v>0</v>
      </c>
      <c r="J17" s="21">
        <f t="shared" si="8"/>
        <v>0</v>
      </c>
      <c r="K17" s="21">
        <f t="shared" si="8"/>
        <v>0</v>
      </c>
      <c r="L17" s="21">
        <f t="shared" ref="L17" si="9">IFERROR(L15/L16*1000,0)</f>
        <v>0</v>
      </c>
      <c r="M17" s="21">
        <f t="shared" si="8"/>
        <v>0</v>
      </c>
      <c r="N17" s="21">
        <f t="shared" si="8"/>
        <v>0</v>
      </c>
      <c r="O17" s="21">
        <f t="shared" si="8"/>
        <v>0</v>
      </c>
      <c r="P17" s="21">
        <f t="shared" si="8"/>
        <v>0</v>
      </c>
      <c r="Q17" s="21">
        <f t="shared" si="8"/>
        <v>0</v>
      </c>
      <c r="R17" s="21">
        <f t="shared" si="8"/>
        <v>0</v>
      </c>
      <c r="S17" s="21">
        <f t="shared" si="8"/>
        <v>0</v>
      </c>
      <c r="T17" s="21">
        <f t="shared" si="8"/>
        <v>0</v>
      </c>
      <c r="U17" s="21">
        <f t="shared" si="8"/>
        <v>0</v>
      </c>
      <c r="V17" s="21">
        <f t="shared" si="8"/>
        <v>0</v>
      </c>
      <c r="W17" s="21">
        <f t="shared" si="8"/>
        <v>0</v>
      </c>
      <c r="X17" s="21">
        <f t="shared" si="8"/>
        <v>0</v>
      </c>
      <c r="Y17" s="21">
        <f t="shared" si="8"/>
        <v>0</v>
      </c>
      <c r="Z17" s="21">
        <f t="shared" si="8"/>
        <v>0</v>
      </c>
    </row>
    <row r="18" spans="1:26" ht="45" x14ac:dyDescent="0.25">
      <c r="A18" s="25" t="s">
        <v>70</v>
      </c>
      <c r="B18" s="25" t="s">
        <v>63</v>
      </c>
      <c r="C18" s="18" t="s">
        <v>73</v>
      </c>
      <c r="D18" s="19"/>
      <c r="E18" s="19"/>
      <c r="F18" s="19"/>
      <c r="G18" s="19"/>
      <c r="H18" s="19"/>
      <c r="I18" s="19"/>
      <c r="J18" s="19"/>
      <c r="K18" s="19"/>
      <c r="L18" s="19"/>
      <c r="M18" s="19"/>
      <c r="N18" s="19"/>
      <c r="O18" s="19"/>
      <c r="P18" s="19"/>
      <c r="Q18" s="19"/>
      <c r="R18" s="19"/>
      <c r="S18" s="19"/>
      <c r="T18" s="19"/>
      <c r="U18" s="19"/>
      <c r="V18" s="19"/>
      <c r="W18" s="19"/>
      <c r="X18" s="19"/>
      <c r="Y18" s="19"/>
      <c r="Z18" s="19"/>
    </row>
    <row r="19" spans="1:26" x14ac:dyDescent="0.25">
      <c r="A19" s="25"/>
      <c r="B19" s="25"/>
      <c r="C19" s="18" t="s">
        <v>27</v>
      </c>
      <c r="D19" s="16">
        <f t="shared" ref="D19:Z19" si="10">D10</f>
        <v>0</v>
      </c>
      <c r="E19" s="16">
        <f t="shared" si="10"/>
        <v>0</v>
      </c>
      <c r="F19" s="16">
        <f t="shared" si="10"/>
        <v>0</v>
      </c>
      <c r="G19" s="16">
        <f t="shared" si="10"/>
        <v>0</v>
      </c>
      <c r="H19" s="16">
        <f t="shared" si="10"/>
        <v>0</v>
      </c>
      <c r="I19" s="16">
        <f t="shared" si="10"/>
        <v>0</v>
      </c>
      <c r="J19" s="16">
        <f t="shared" si="10"/>
        <v>0</v>
      </c>
      <c r="K19" s="16">
        <f t="shared" si="10"/>
        <v>0</v>
      </c>
      <c r="L19" s="16">
        <f t="shared" ref="L19" si="11">L10</f>
        <v>0</v>
      </c>
      <c r="M19" s="16">
        <f t="shared" si="10"/>
        <v>0</v>
      </c>
      <c r="N19" s="16">
        <f t="shared" si="10"/>
        <v>0</v>
      </c>
      <c r="O19" s="16">
        <f t="shared" si="10"/>
        <v>0</v>
      </c>
      <c r="P19" s="16">
        <f t="shared" si="10"/>
        <v>0</v>
      </c>
      <c r="Q19" s="16">
        <f t="shared" si="10"/>
        <v>0</v>
      </c>
      <c r="R19" s="16">
        <f t="shared" si="10"/>
        <v>0</v>
      </c>
      <c r="S19" s="16">
        <f t="shared" si="10"/>
        <v>0</v>
      </c>
      <c r="T19" s="16">
        <f t="shared" si="10"/>
        <v>0</v>
      </c>
      <c r="U19" s="16">
        <f t="shared" si="10"/>
        <v>0</v>
      </c>
      <c r="V19" s="16">
        <f t="shared" si="10"/>
        <v>0</v>
      </c>
      <c r="W19" s="16">
        <f t="shared" si="10"/>
        <v>0</v>
      </c>
      <c r="X19" s="16">
        <f t="shared" si="10"/>
        <v>0</v>
      </c>
      <c r="Y19" s="16">
        <f t="shared" si="10"/>
        <v>0</v>
      </c>
      <c r="Z19" s="16">
        <f t="shared" si="10"/>
        <v>0</v>
      </c>
    </row>
    <row r="20" spans="1:26" ht="45" x14ac:dyDescent="0.25">
      <c r="A20" s="25"/>
      <c r="B20" s="25"/>
      <c r="C20" s="20" t="s">
        <v>74</v>
      </c>
      <c r="D20" s="21">
        <f t="shared" ref="D20:Z20" si="12">IFERROR(D18/D19*1000,0)</f>
        <v>0</v>
      </c>
      <c r="E20" s="21">
        <f t="shared" si="12"/>
        <v>0</v>
      </c>
      <c r="F20" s="21">
        <f t="shared" si="12"/>
        <v>0</v>
      </c>
      <c r="G20" s="21">
        <f t="shared" si="12"/>
        <v>0</v>
      </c>
      <c r="H20" s="21">
        <f t="shared" si="12"/>
        <v>0</v>
      </c>
      <c r="I20" s="21">
        <f t="shared" si="12"/>
        <v>0</v>
      </c>
      <c r="J20" s="21">
        <f t="shared" si="12"/>
        <v>0</v>
      </c>
      <c r="K20" s="21">
        <f t="shared" si="12"/>
        <v>0</v>
      </c>
      <c r="L20" s="21">
        <f t="shared" ref="L20" si="13">IFERROR(L18/L19*1000,0)</f>
        <v>0</v>
      </c>
      <c r="M20" s="21">
        <f t="shared" si="12"/>
        <v>0</v>
      </c>
      <c r="N20" s="21">
        <f t="shared" si="12"/>
        <v>0</v>
      </c>
      <c r="O20" s="21">
        <f t="shared" si="12"/>
        <v>0</v>
      </c>
      <c r="P20" s="21">
        <f t="shared" si="12"/>
        <v>0</v>
      </c>
      <c r="Q20" s="21">
        <f t="shared" si="12"/>
        <v>0</v>
      </c>
      <c r="R20" s="21">
        <f t="shared" si="12"/>
        <v>0</v>
      </c>
      <c r="S20" s="21">
        <f t="shared" si="12"/>
        <v>0</v>
      </c>
      <c r="T20" s="21">
        <f t="shared" si="12"/>
        <v>0</v>
      </c>
      <c r="U20" s="21">
        <f t="shared" si="12"/>
        <v>0</v>
      </c>
      <c r="V20" s="21">
        <f t="shared" si="12"/>
        <v>0</v>
      </c>
      <c r="W20" s="21">
        <f t="shared" si="12"/>
        <v>0</v>
      </c>
      <c r="X20" s="21">
        <f t="shared" si="12"/>
        <v>0</v>
      </c>
      <c r="Y20" s="21">
        <f t="shared" si="12"/>
        <v>0</v>
      </c>
      <c r="Z20" s="21">
        <f t="shared" si="12"/>
        <v>0</v>
      </c>
    </row>
    <row r="21" spans="1:26" ht="30" x14ac:dyDescent="0.25">
      <c r="A21" s="25" t="s">
        <v>75</v>
      </c>
      <c r="B21" s="25" t="s">
        <v>63</v>
      </c>
      <c r="C21" s="18" t="s">
        <v>76</v>
      </c>
      <c r="D21" s="19"/>
      <c r="E21" s="19"/>
      <c r="F21" s="19"/>
      <c r="G21" s="19"/>
      <c r="H21" s="19"/>
      <c r="I21" s="19"/>
      <c r="J21" s="19"/>
      <c r="K21" s="19"/>
      <c r="L21" s="19"/>
      <c r="M21" s="19"/>
      <c r="N21" s="19"/>
      <c r="O21" s="19"/>
      <c r="P21" s="19"/>
      <c r="Q21" s="19"/>
      <c r="R21" s="19"/>
      <c r="S21" s="19"/>
      <c r="T21" s="19"/>
      <c r="U21" s="19"/>
      <c r="V21" s="19"/>
      <c r="W21" s="19"/>
      <c r="X21" s="19"/>
      <c r="Y21" s="19"/>
      <c r="Z21" s="19"/>
    </row>
    <row r="22" spans="1:26" x14ac:dyDescent="0.25">
      <c r="A22" s="25"/>
      <c r="B22" s="25"/>
      <c r="C22" s="18" t="s">
        <v>27</v>
      </c>
      <c r="D22" s="16">
        <f t="shared" ref="D22:Z22" si="14">D7</f>
        <v>0</v>
      </c>
      <c r="E22" s="16">
        <f t="shared" si="14"/>
        <v>0</v>
      </c>
      <c r="F22" s="16">
        <f t="shared" si="14"/>
        <v>0</v>
      </c>
      <c r="G22" s="16">
        <f t="shared" si="14"/>
        <v>0</v>
      </c>
      <c r="H22" s="16">
        <f t="shared" si="14"/>
        <v>0</v>
      </c>
      <c r="I22" s="16">
        <f t="shared" si="14"/>
        <v>0</v>
      </c>
      <c r="J22" s="16">
        <f t="shared" si="14"/>
        <v>0</v>
      </c>
      <c r="K22" s="16">
        <f t="shared" si="14"/>
        <v>0</v>
      </c>
      <c r="L22" s="16">
        <f t="shared" ref="L22" si="15">L7</f>
        <v>0</v>
      </c>
      <c r="M22" s="16">
        <f t="shared" si="14"/>
        <v>0</v>
      </c>
      <c r="N22" s="16">
        <f t="shared" si="14"/>
        <v>0</v>
      </c>
      <c r="O22" s="16">
        <f t="shared" si="14"/>
        <v>0</v>
      </c>
      <c r="P22" s="16">
        <f t="shared" si="14"/>
        <v>0</v>
      </c>
      <c r="Q22" s="16">
        <f t="shared" si="14"/>
        <v>0</v>
      </c>
      <c r="R22" s="16">
        <f t="shared" si="14"/>
        <v>0</v>
      </c>
      <c r="S22" s="16">
        <f t="shared" si="14"/>
        <v>0</v>
      </c>
      <c r="T22" s="16">
        <f t="shared" si="14"/>
        <v>0</v>
      </c>
      <c r="U22" s="16">
        <f t="shared" si="14"/>
        <v>0</v>
      </c>
      <c r="V22" s="16">
        <f t="shared" si="14"/>
        <v>0</v>
      </c>
      <c r="W22" s="16">
        <f t="shared" si="14"/>
        <v>0</v>
      </c>
      <c r="X22" s="16">
        <f t="shared" si="14"/>
        <v>0</v>
      </c>
      <c r="Y22" s="16">
        <f t="shared" si="14"/>
        <v>0</v>
      </c>
      <c r="Z22" s="16">
        <f t="shared" si="14"/>
        <v>0</v>
      </c>
    </row>
    <row r="23" spans="1:26" ht="30" x14ac:dyDescent="0.25">
      <c r="A23" s="25"/>
      <c r="B23" s="25"/>
      <c r="C23" s="20" t="s">
        <v>76</v>
      </c>
      <c r="D23" s="21">
        <f t="shared" ref="D23:Z23" si="16">IFERROR(D21/D22*1000,0)</f>
        <v>0</v>
      </c>
      <c r="E23" s="21">
        <f t="shared" si="16"/>
        <v>0</v>
      </c>
      <c r="F23" s="21">
        <f t="shared" si="16"/>
        <v>0</v>
      </c>
      <c r="G23" s="21">
        <f t="shared" si="16"/>
        <v>0</v>
      </c>
      <c r="H23" s="21">
        <f t="shared" si="16"/>
        <v>0</v>
      </c>
      <c r="I23" s="21">
        <f t="shared" si="16"/>
        <v>0</v>
      </c>
      <c r="J23" s="21">
        <f t="shared" si="16"/>
        <v>0</v>
      </c>
      <c r="K23" s="21">
        <f t="shared" si="16"/>
        <v>0</v>
      </c>
      <c r="L23" s="21">
        <f t="shared" ref="L23" si="17">IFERROR(L21/L22*1000,0)</f>
        <v>0</v>
      </c>
      <c r="M23" s="21">
        <f t="shared" si="16"/>
        <v>0</v>
      </c>
      <c r="N23" s="21">
        <f t="shared" si="16"/>
        <v>0</v>
      </c>
      <c r="O23" s="21">
        <f t="shared" si="16"/>
        <v>0</v>
      </c>
      <c r="P23" s="21">
        <f t="shared" si="16"/>
        <v>0</v>
      </c>
      <c r="Q23" s="21">
        <f t="shared" si="16"/>
        <v>0</v>
      </c>
      <c r="R23" s="21">
        <f t="shared" si="16"/>
        <v>0</v>
      </c>
      <c r="S23" s="21">
        <f t="shared" si="16"/>
        <v>0</v>
      </c>
      <c r="T23" s="21">
        <f t="shared" si="16"/>
        <v>0</v>
      </c>
      <c r="U23" s="21">
        <f t="shared" si="16"/>
        <v>0</v>
      </c>
      <c r="V23" s="21">
        <f t="shared" si="16"/>
        <v>0</v>
      </c>
      <c r="W23" s="21">
        <f t="shared" si="16"/>
        <v>0</v>
      </c>
      <c r="X23" s="21">
        <f t="shared" si="16"/>
        <v>0</v>
      </c>
      <c r="Y23" s="21">
        <f t="shared" si="16"/>
        <v>0</v>
      </c>
      <c r="Z23" s="21">
        <f t="shared" si="16"/>
        <v>0</v>
      </c>
    </row>
    <row r="24" spans="1:26" ht="30" x14ac:dyDescent="0.25">
      <c r="A24" s="25" t="s">
        <v>77</v>
      </c>
      <c r="B24" s="25" t="s">
        <v>63</v>
      </c>
      <c r="C24" s="18" t="s">
        <v>78</v>
      </c>
      <c r="D24" s="19"/>
      <c r="E24" s="19"/>
      <c r="F24" s="19"/>
      <c r="G24" s="19"/>
      <c r="H24" s="19"/>
      <c r="I24" s="19"/>
      <c r="J24" s="19"/>
      <c r="K24" s="19"/>
      <c r="L24" s="19"/>
      <c r="M24" s="19"/>
      <c r="N24" s="19"/>
      <c r="O24" s="19"/>
      <c r="P24" s="19"/>
      <c r="Q24" s="19"/>
      <c r="R24" s="19"/>
      <c r="S24" s="19"/>
      <c r="T24" s="19"/>
      <c r="U24" s="19"/>
      <c r="V24" s="19"/>
      <c r="W24" s="19"/>
      <c r="X24" s="19"/>
      <c r="Y24" s="19"/>
      <c r="Z24" s="19"/>
    </row>
    <row r="25" spans="1:26" x14ac:dyDescent="0.25">
      <c r="A25" s="25"/>
      <c r="B25" s="25"/>
      <c r="C25" s="18" t="s">
        <v>27</v>
      </c>
      <c r="D25" s="16">
        <f t="shared" ref="D25:Z25" si="18">D16</f>
        <v>0</v>
      </c>
      <c r="E25" s="16">
        <f t="shared" si="18"/>
        <v>0</v>
      </c>
      <c r="F25" s="16">
        <f t="shared" si="18"/>
        <v>0</v>
      </c>
      <c r="G25" s="16">
        <f t="shared" si="18"/>
        <v>0</v>
      </c>
      <c r="H25" s="16">
        <f t="shared" si="18"/>
        <v>0</v>
      </c>
      <c r="I25" s="16">
        <f t="shared" si="18"/>
        <v>0</v>
      </c>
      <c r="J25" s="16">
        <f t="shared" si="18"/>
        <v>0</v>
      </c>
      <c r="K25" s="16">
        <f t="shared" si="18"/>
        <v>0</v>
      </c>
      <c r="L25" s="16">
        <f t="shared" ref="L25" si="19">L16</f>
        <v>0</v>
      </c>
      <c r="M25" s="16">
        <f t="shared" si="18"/>
        <v>0</v>
      </c>
      <c r="N25" s="16">
        <f t="shared" si="18"/>
        <v>0</v>
      </c>
      <c r="O25" s="16">
        <f t="shared" si="18"/>
        <v>0</v>
      </c>
      <c r="P25" s="16">
        <f t="shared" si="18"/>
        <v>0</v>
      </c>
      <c r="Q25" s="16">
        <f t="shared" si="18"/>
        <v>0</v>
      </c>
      <c r="R25" s="16">
        <f t="shared" si="18"/>
        <v>0</v>
      </c>
      <c r="S25" s="16">
        <f t="shared" si="18"/>
        <v>0</v>
      </c>
      <c r="T25" s="16">
        <f t="shared" si="18"/>
        <v>0</v>
      </c>
      <c r="U25" s="16">
        <f t="shared" si="18"/>
        <v>0</v>
      </c>
      <c r="V25" s="16">
        <f t="shared" si="18"/>
        <v>0</v>
      </c>
      <c r="W25" s="16">
        <f t="shared" si="18"/>
        <v>0</v>
      </c>
      <c r="X25" s="16">
        <f t="shared" si="18"/>
        <v>0</v>
      </c>
      <c r="Y25" s="16">
        <f t="shared" si="18"/>
        <v>0</v>
      </c>
      <c r="Z25" s="16">
        <f t="shared" si="18"/>
        <v>0</v>
      </c>
    </row>
    <row r="26" spans="1:26" ht="30" x14ac:dyDescent="0.25">
      <c r="A26" s="25"/>
      <c r="B26" s="25"/>
      <c r="C26" s="20" t="s">
        <v>79</v>
      </c>
      <c r="D26" s="21">
        <f t="shared" ref="D26:Z26" si="20">IFERROR(D24/D25*1000,0)</f>
        <v>0</v>
      </c>
      <c r="E26" s="21">
        <f t="shared" si="20"/>
        <v>0</v>
      </c>
      <c r="F26" s="21">
        <f t="shared" si="20"/>
        <v>0</v>
      </c>
      <c r="G26" s="21">
        <f t="shared" si="20"/>
        <v>0</v>
      </c>
      <c r="H26" s="21">
        <f t="shared" si="20"/>
        <v>0</v>
      </c>
      <c r="I26" s="21">
        <f t="shared" si="20"/>
        <v>0</v>
      </c>
      <c r="J26" s="21">
        <f t="shared" si="20"/>
        <v>0</v>
      </c>
      <c r="K26" s="21">
        <f t="shared" si="20"/>
        <v>0</v>
      </c>
      <c r="L26" s="21">
        <f t="shared" ref="L26" si="21">IFERROR(L24/L25*1000,0)</f>
        <v>0</v>
      </c>
      <c r="M26" s="21">
        <f t="shared" si="20"/>
        <v>0</v>
      </c>
      <c r="N26" s="21">
        <f t="shared" si="20"/>
        <v>0</v>
      </c>
      <c r="O26" s="21">
        <f t="shared" si="20"/>
        <v>0</v>
      </c>
      <c r="P26" s="21">
        <f t="shared" si="20"/>
        <v>0</v>
      </c>
      <c r="Q26" s="21">
        <f t="shared" si="20"/>
        <v>0</v>
      </c>
      <c r="R26" s="21">
        <f t="shared" si="20"/>
        <v>0</v>
      </c>
      <c r="S26" s="21">
        <f t="shared" si="20"/>
        <v>0</v>
      </c>
      <c r="T26" s="21">
        <f t="shared" si="20"/>
        <v>0</v>
      </c>
      <c r="U26" s="21">
        <f t="shared" si="20"/>
        <v>0</v>
      </c>
      <c r="V26" s="21">
        <f t="shared" si="20"/>
        <v>0</v>
      </c>
      <c r="W26" s="21">
        <f t="shared" si="20"/>
        <v>0</v>
      </c>
      <c r="X26" s="21">
        <f t="shared" si="20"/>
        <v>0</v>
      </c>
      <c r="Y26" s="21">
        <f t="shared" si="20"/>
        <v>0</v>
      </c>
      <c r="Z26" s="21">
        <f t="shared" si="20"/>
        <v>0</v>
      </c>
    </row>
    <row r="27" spans="1:26" ht="30" x14ac:dyDescent="0.25">
      <c r="A27" s="25" t="s">
        <v>77</v>
      </c>
      <c r="B27" s="25" t="s">
        <v>63</v>
      </c>
      <c r="C27" s="18" t="s">
        <v>80</v>
      </c>
      <c r="D27" s="19"/>
      <c r="E27" s="19"/>
      <c r="F27" s="19"/>
      <c r="G27" s="19"/>
      <c r="H27" s="19"/>
      <c r="I27" s="19"/>
      <c r="J27" s="19"/>
      <c r="K27" s="19"/>
      <c r="L27" s="19"/>
      <c r="M27" s="19"/>
      <c r="N27" s="19"/>
      <c r="O27" s="19"/>
      <c r="P27" s="19"/>
      <c r="Q27" s="19"/>
      <c r="R27" s="19"/>
      <c r="S27" s="19"/>
      <c r="T27" s="19"/>
      <c r="U27" s="19"/>
      <c r="V27" s="19"/>
      <c r="W27" s="19"/>
      <c r="X27" s="19"/>
      <c r="Y27" s="19"/>
      <c r="Z27" s="19"/>
    </row>
    <row r="28" spans="1:26" x14ac:dyDescent="0.25">
      <c r="A28" s="25"/>
      <c r="B28" s="25"/>
      <c r="C28" s="18" t="s">
        <v>27</v>
      </c>
      <c r="D28" s="16">
        <f t="shared" ref="D28:Z28" si="22">D19</f>
        <v>0</v>
      </c>
      <c r="E28" s="16">
        <f t="shared" si="22"/>
        <v>0</v>
      </c>
      <c r="F28" s="16">
        <f t="shared" si="22"/>
        <v>0</v>
      </c>
      <c r="G28" s="16">
        <f t="shared" si="22"/>
        <v>0</v>
      </c>
      <c r="H28" s="16">
        <f t="shared" si="22"/>
        <v>0</v>
      </c>
      <c r="I28" s="16">
        <f t="shared" si="22"/>
        <v>0</v>
      </c>
      <c r="J28" s="16">
        <f t="shared" si="22"/>
        <v>0</v>
      </c>
      <c r="K28" s="16">
        <f t="shared" si="22"/>
        <v>0</v>
      </c>
      <c r="L28" s="16">
        <f t="shared" ref="L28" si="23">L19</f>
        <v>0</v>
      </c>
      <c r="M28" s="16">
        <f t="shared" si="22"/>
        <v>0</v>
      </c>
      <c r="N28" s="16">
        <f t="shared" si="22"/>
        <v>0</v>
      </c>
      <c r="O28" s="16">
        <f t="shared" si="22"/>
        <v>0</v>
      </c>
      <c r="P28" s="16">
        <f t="shared" si="22"/>
        <v>0</v>
      </c>
      <c r="Q28" s="16">
        <f t="shared" si="22"/>
        <v>0</v>
      </c>
      <c r="R28" s="16">
        <f t="shared" si="22"/>
        <v>0</v>
      </c>
      <c r="S28" s="16">
        <f t="shared" si="22"/>
        <v>0</v>
      </c>
      <c r="T28" s="16">
        <f t="shared" si="22"/>
        <v>0</v>
      </c>
      <c r="U28" s="16">
        <f t="shared" si="22"/>
        <v>0</v>
      </c>
      <c r="V28" s="16">
        <f t="shared" si="22"/>
        <v>0</v>
      </c>
      <c r="W28" s="16">
        <f t="shared" si="22"/>
        <v>0</v>
      </c>
      <c r="X28" s="16">
        <f t="shared" si="22"/>
        <v>0</v>
      </c>
      <c r="Y28" s="16">
        <f t="shared" si="22"/>
        <v>0</v>
      </c>
      <c r="Z28" s="16">
        <f t="shared" si="22"/>
        <v>0</v>
      </c>
    </row>
    <row r="29" spans="1:26" ht="30" x14ac:dyDescent="0.25">
      <c r="A29" s="25"/>
      <c r="B29" s="25"/>
      <c r="C29" s="20" t="s">
        <v>81</v>
      </c>
      <c r="D29" s="21">
        <f t="shared" ref="D29:Z29" si="24">IFERROR(D27/D28*1000,0)</f>
        <v>0</v>
      </c>
      <c r="E29" s="21">
        <f t="shared" si="24"/>
        <v>0</v>
      </c>
      <c r="F29" s="21">
        <f t="shared" si="24"/>
        <v>0</v>
      </c>
      <c r="G29" s="21">
        <f t="shared" si="24"/>
        <v>0</v>
      </c>
      <c r="H29" s="21">
        <f t="shared" si="24"/>
        <v>0</v>
      </c>
      <c r="I29" s="21">
        <f t="shared" si="24"/>
        <v>0</v>
      </c>
      <c r="J29" s="21">
        <f t="shared" si="24"/>
        <v>0</v>
      </c>
      <c r="K29" s="21">
        <f t="shared" si="24"/>
        <v>0</v>
      </c>
      <c r="L29" s="21">
        <f t="shared" ref="L29" si="25">IFERROR(L27/L28*1000,0)</f>
        <v>0</v>
      </c>
      <c r="M29" s="21">
        <f t="shared" si="24"/>
        <v>0</v>
      </c>
      <c r="N29" s="21">
        <f t="shared" si="24"/>
        <v>0</v>
      </c>
      <c r="O29" s="21">
        <f t="shared" si="24"/>
        <v>0</v>
      </c>
      <c r="P29" s="21">
        <f t="shared" si="24"/>
        <v>0</v>
      </c>
      <c r="Q29" s="21">
        <f t="shared" si="24"/>
        <v>0</v>
      </c>
      <c r="R29" s="21">
        <f t="shared" si="24"/>
        <v>0</v>
      </c>
      <c r="S29" s="21">
        <f t="shared" si="24"/>
        <v>0</v>
      </c>
      <c r="T29" s="21">
        <f t="shared" si="24"/>
        <v>0</v>
      </c>
      <c r="U29" s="21">
        <f t="shared" si="24"/>
        <v>0</v>
      </c>
      <c r="V29" s="21">
        <f t="shared" si="24"/>
        <v>0</v>
      </c>
      <c r="W29" s="21">
        <f t="shared" si="24"/>
        <v>0</v>
      </c>
      <c r="X29" s="21">
        <f t="shared" si="24"/>
        <v>0</v>
      </c>
      <c r="Y29" s="21">
        <f t="shared" si="24"/>
        <v>0</v>
      </c>
      <c r="Z29" s="21">
        <f t="shared" si="24"/>
        <v>0</v>
      </c>
    </row>
    <row r="30" spans="1:26" ht="30" x14ac:dyDescent="0.25">
      <c r="A30" s="25" t="s">
        <v>77</v>
      </c>
      <c r="B30" s="25" t="s">
        <v>63</v>
      </c>
      <c r="C30" s="18" t="s">
        <v>82</v>
      </c>
      <c r="D30" s="19"/>
      <c r="E30" s="19"/>
      <c r="F30" s="19"/>
      <c r="G30" s="19"/>
      <c r="H30" s="19"/>
      <c r="I30" s="19"/>
      <c r="J30" s="19"/>
      <c r="K30" s="19"/>
      <c r="L30" s="19"/>
      <c r="M30" s="19"/>
      <c r="N30" s="19"/>
      <c r="O30" s="19"/>
      <c r="P30" s="19"/>
      <c r="Q30" s="19"/>
      <c r="R30" s="19"/>
      <c r="S30" s="19"/>
      <c r="T30" s="19"/>
      <c r="U30" s="19"/>
      <c r="V30" s="19"/>
      <c r="W30" s="19"/>
      <c r="X30" s="19"/>
      <c r="Y30" s="19"/>
      <c r="Z30" s="19"/>
    </row>
    <row r="31" spans="1:26" x14ac:dyDescent="0.25">
      <c r="A31" s="25"/>
      <c r="B31" s="25"/>
      <c r="C31" s="18" t="s">
        <v>27</v>
      </c>
      <c r="D31" s="16">
        <f t="shared" ref="D31:Z31" si="26">D22</f>
        <v>0</v>
      </c>
      <c r="E31" s="16">
        <f t="shared" si="26"/>
        <v>0</v>
      </c>
      <c r="F31" s="16">
        <f t="shared" si="26"/>
        <v>0</v>
      </c>
      <c r="G31" s="16">
        <f t="shared" si="26"/>
        <v>0</v>
      </c>
      <c r="H31" s="16">
        <f t="shared" si="26"/>
        <v>0</v>
      </c>
      <c r="I31" s="16">
        <f t="shared" si="26"/>
        <v>0</v>
      </c>
      <c r="J31" s="16">
        <f t="shared" si="26"/>
        <v>0</v>
      </c>
      <c r="K31" s="16">
        <f t="shared" si="26"/>
        <v>0</v>
      </c>
      <c r="L31" s="16">
        <f t="shared" ref="L31" si="27">L22</f>
        <v>0</v>
      </c>
      <c r="M31" s="16">
        <f t="shared" si="26"/>
        <v>0</v>
      </c>
      <c r="N31" s="16">
        <f t="shared" si="26"/>
        <v>0</v>
      </c>
      <c r="O31" s="16">
        <f t="shared" si="26"/>
        <v>0</v>
      </c>
      <c r="P31" s="16">
        <f t="shared" si="26"/>
        <v>0</v>
      </c>
      <c r="Q31" s="16">
        <f t="shared" si="26"/>
        <v>0</v>
      </c>
      <c r="R31" s="16">
        <f t="shared" si="26"/>
        <v>0</v>
      </c>
      <c r="S31" s="16">
        <f t="shared" si="26"/>
        <v>0</v>
      </c>
      <c r="T31" s="16">
        <f t="shared" si="26"/>
        <v>0</v>
      </c>
      <c r="U31" s="16">
        <f t="shared" si="26"/>
        <v>0</v>
      </c>
      <c r="V31" s="16">
        <f t="shared" si="26"/>
        <v>0</v>
      </c>
      <c r="W31" s="16">
        <f t="shared" si="26"/>
        <v>0</v>
      </c>
      <c r="X31" s="16">
        <f t="shared" si="26"/>
        <v>0</v>
      </c>
      <c r="Y31" s="16">
        <f t="shared" si="26"/>
        <v>0</v>
      </c>
      <c r="Z31" s="16">
        <f t="shared" si="26"/>
        <v>0</v>
      </c>
    </row>
    <row r="32" spans="1:26" ht="30" x14ac:dyDescent="0.25">
      <c r="A32" s="25"/>
      <c r="B32" s="25"/>
      <c r="C32" s="20" t="s">
        <v>83</v>
      </c>
      <c r="D32" s="21">
        <f t="shared" ref="D32:Z32" si="28">IFERROR(D30/D31*1000,0)</f>
        <v>0</v>
      </c>
      <c r="E32" s="21">
        <f t="shared" si="28"/>
        <v>0</v>
      </c>
      <c r="F32" s="21">
        <f t="shared" si="28"/>
        <v>0</v>
      </c>
      <c r="G32" s="21">
        <f t="shared" si="28"/>
        <v>0</v>
      </c>
      <c r="H32" s="21">
        <f t="shared" si="28"/>
        <v>0</v>
      </c>
      <c r="I32" s="21">
        <f t="shared" si="28"/>
        <v>0</v>
      </c>
      <c r="J32" s="21">
        <f t="shared" si="28"/>
        <v>0</v>
      </c>
      <c r="K32" s="21">
        <f t="shared" si="28"/>
        <v>0</v>
      </c>
      <c r="L32" s="21">
        <f t="shared" ref="L32" si="29">IFERROR(L30/L31*1000,0)</f>
        <v>0</v>
      </c>
      <c r="M32" s="21">
        <f t="shared" si="28"/>
        <v>0</v>
      </c>
      <c r="N32" s="21">
        <f t="shared" si="28"/>
        <v>0</v>
      </c>
      <c r="O32" s="21">
        <f t="shared" si="28"/>
        <v>0</v>
      </c>
      <c r="P32" s="21">
        <f t="shared" si="28"/>
        <v>0</v>
      </c>
      <c r="Q32" s="21">
        <f t="shared" si="28"/>
        <v>0</v>
      </c>
      <c r="R32" s="21">
        <f t="shared" si="28"/>
        <v>0</v>
      </c>
      <c r="S32" s="21">
        <f t="shared" si="28"/>
        <v>0</v>
      </c>
      <c r="T32" s="21">
        <f t="shared" si="28"/>
        <v>0</v>
      </c>
      <c r="U32" s="21">
        <f t="shared" si="28"/>
        <v>0</v>
      </c>
      <c r="V32" s="21">
        <f t="shared" si="28"/>
        <v>0</v>
      </c>
      <c r="W32" s="21">
        <f t="shared" si="28"/>
        <v>0</v>
      </c>
      <c r="X32" s="21">
        <f t="shared" si="28"/>
        <v>0</v>
      </c>
      <c r="Y32" s="21">
        <f t="shared" si="28"/>
        <v>0</v>
      </c>
      <c r="Z32" s="21">
        <f t="shared" si="28"/>
        <v>0</v>
      </c>
    </row>
    <row r="33" spans="1:26" ht="30" x14ac:dyDescent="0.25">
      <c r="A33" s="25" t="s">
        <v>77</v>
      </c>
      <c r="B33" s="25" t="s">
        <v>63</v>
      </c>
      <c r="C33" s="18" t="s">
        <v>84</v>
      </c>
      <c r="D33" s="19"/>
      <c r="E33" s="19"/>
      <c r="F33" s="19"/>
      <c r="G33" s="19"/>
      <c r="H33" s="19"/>
      <c r="I33" s="19"/>
      <c r="J33" s="19"/>
      <c r="K33" s="19"/>
      <c r="L33" s="19"/>
      <c r="M33" s="19"/>
      <c r="N33" s="19"/>
      <c r="O33" s="19"/>
      <c r="P33" s="19"/>
      <c r="Q33" s="19"/>
      <c r="R33" s="19"/>
      <c r="S33" s="19"/>
      <c r="T33" s="19"/>
      <c r="U33" s="19"/>
      <c r="V33" s="19"/>
      <c r="W33" s="19"/>
      <c r="X33" s="19"/>
      <c r="Y33" s="19"/>
      <c r="Z33" s="19"/>
    </row>
    <row r="34" spans="1:26" x14ac:dyDescent="0.25">
      <c r="A34" s="25"/>
      <c r="B34" s="25"/>
      <c r="C34" s="18" t="s">
        <v>27</v>
      </c>
      <c r="D34" s="16">
        <f t="shared" ref="D34:Z34" si="30">D25</f>
        <v>0</v>
      </c>
      <c r="E34" s="16">
        <f t="shared" si="30"/>
        <v>0</v>
      </c>
      <c r="F34" s="16">
        <f t="shared" si="30"/>
        <v>0</v>
      </c>
      <c r="G34" s="16">
        <f t="shared" si="30"/>
        <v>0</v>
      </c>
      <c r="H34" s="16">
        <f t="shared" si="30"/>
        <v>0</v>
      </c>
      <c r="I34" s="16">
        <f t="shared" si="30"/>
        <v>0</v>
      </c>
      <c r="J34" s="16">
        <f t="shared" si="30"/>
        <v>0</v>
      </c>
      <c r="K34" s="16">
        <f t="shared" si="30"/>
        <v>0</v>
      </c>
      <c r="L34" s="16">
        <f t="shared" ref="L34" si="31">L25</f>
        <v>0</v>
      </c>
      <c r="M34" s="16">
        <f t="shared" si="30"/>
        <v>0</v>
      </c>
      <c r="N34" s="16">
        <f t="shared" si="30"/>
        <v>0</v>
      </c>
      <c r="O34" s="16">
        <f t="shared" si="30"/>
        <v>0</v>
      </c>
      <c r="P34" s="16">
        <f t="shared" si="30"/>
        <v>0</v>
      </c>
      <c r="Q34" s="16">
        <f t="shared" si="30"/>
        <v>0</v>
      </c>
      <c r="R34" s="16">
        <f t="shared" si="30"/>
        <v>0</v>
      </c>
      <c r="S34" s="16">
        <f t="shared" si="30"/>
        <v>0</v>
      </c>
      <c r="T34" s="16">
        <f t="shared" si="30"/>
        <v>0</v>
      </c>
      <c r="U34" s="16">
        <f t="shared" si="30"/>
        <v>0</v>
      </c>
      <c r="V34" s="16">
        <f t="shared" si="30"/>
        <v>0</v>
      </c>
      <c r="W34" s="16">
        <f t="shared" si="30"/>
        <v>0</v>
      </c>
      <c r="X34" s="16">
        <f t="shared" si="30"/>
        <v>0</v>
      </c>
      <c r="Y34" s="16">
        <f t="shared" si="30"/>
        <v>0</v>
      </c>
      <c r="Z34" s="16">
        <f t="shared" si="30"/>
        <v>0</v>
      </c>
    </row>
    <row r="35" spans="1:26" ht="30" x14ac:dyDescent="0.25">
      <c r="A35" s="25"/>
      <c r="B35" s="25"/>
      <c r="C35" s="20" t="s">
        <v>85</v>
      </c>
      <c r="D35" s="21">
        <f t="shared" ref="D35:Z35" si="32">IFERROR(D33/D34*1000,0)</f>
        <v>0</v>
      </c>
      <c r="E35" s="21">
        <f t="shared" si="32"/>
        <v>0</v>
      </c>
      <c r="F35" s="21">
        <f t="shared" si="32"/>
        <v>0</v>
      </c>
      <c r="G35" s="21">
        <f t="shared" si="32"/>
        <v>0</v>
      </c>
      <c r="H35" s="21">
        <f t="shared" si="32"/>
        <v>0</v>
      </c>
      <c r="I35" s="21">
        <f t="shared" si="32"/>
        <v>0</v>
      </c>
      <c r="J35" s="21">
        <f t="shared" si="32"/>
        <v>0</v>
      </c>
      <c r="K35" s="21">
        <f t="shared" si="32"/>
        <v>0</v>
      </c>
      <c r="L35" s="21">
        <f t="shared" ref="L35" si="33">IFERROR(L33/L34*1000,0)</f>
        <v>0</v>
      </c>
      <c r="M35" s="21">
        <f t="shared" si="32"/>
        <v>0</v>
      </c>
      <c r="N35" s="21">
        <f t="shared" si="32"/>
        <v>0</v>
      </c>
      <c r="O35" s="21">
        <f t="shared" si="32"/>
        <v>0</v>
      </c>
      <c r="P35" s="21">
        <f t="shared" si="32"/>
        <v>0</v>
      </c>
      <c r="Q35" s="21">
        <f t="shared" si="32"/>
        <v>0</v>
      </c>
      <c r="R35" s="21">
        <f t="shared" si="32"/>
        <v>0</v>
      </c>
      <c r="S35" s="21">
        <f t="shared" si="32"/>
        <v>0</v>
      </c>
      <c r="T35" s="21">
        <f t="shared" si="32"/>
        <v>0</v>
      </c>
      <c r="U35" s="21">
        <f t="shared" si="32"/>
        <v>0</v>
      </c>
      <c r="V35" s="21">
        <f t="shared" si="32"/>
        <v>0</v>
      </c>
      <c r="W35" s="21">
        <f t="shared" si="32"/>
        <v>0</v>
      </c>
      <c r="X35" s="21">
        <f t="shared" si="32"/>
        <v>0</v>
      </c>
      <c r="Y35" s="21">
        <f t="shared" si="32"/>
        <v>0</v>
      </c>
      <c r="Z35" s="21">
        <f t="shared" si="32"/>
        <v>0</v>
      </c>
    </row>
    <row r="36" spans="1:26" ht="30" x14ac:dyDescent="0.25">
      <c r="A36" s="25" t="s">
        <v>86</v>
      </c>
      <c r="B36" s="25" t="s">
        <v>63</v>
      </c>
      <c r="C36" s="18" t="s">
        <v>87</v>
      </c>
      <c r="D36" s="19"/>
      <c r="E36" s="19"/>
      <c r="F36" s="19"/>
      <c r="G36" s="19"/>
      <c r="H36" s="19"/>
      <c r="I36" s="19"/>
      <c r="J36" s="19"/>
      <c r="K36" s="19"/>
      <c r="L36" s="19"/>
      <c r="M36" s="19"/>
      <c r="N36" s="19"/>
      <c r="O36" s="19"/>
      <c r="P36" s="19"/>
      <c r="Q36" s="19"/>
      <c r="R36" s="19"/>
      <c r="S36" s="19"/>
      <c r="T36" s="19"/>
      <c r="U36" s="19"/>
      <c r="V36" s="19"/>
      <c r="W36" s="19"/>
      <c r="X36" s="19"/>
      <c r="Y36" s="19"/>
      <c r="Z36" s="19"/>
    </row>
    <row r="37" spans="1:26" x14ac:dyDescent="0.25">
      <c r="A37" s="25"/>
      <c r="B37" s="25"/>
      <c r="C37" s="18" t="s">
        <v>27</v>
      </c>
      <c r="D37" s="16">
        <f>D22</f>
        <v>0</v>
      </c>
      <c r="E37" s="16">
        <f t="shared" ref="E37:Z37" si="34">E22</f>
        <v>0</v>
      </c>
      <c r="F37" s="16">
        <f t="shared" si="34"/>
        <v>0</v>
      </c>
      <c r="G37" s="16">
        <f t="shared" si="34"/>
        <v>0</v>
      </c>
      <c r="H37" s="16">
        <f t="shared" si="34"/>
        <v>0</v>
      </c>
      <c r="I37" s="16">
        <f t="shared" si="34"/>
        <v>0</v>
      </c>
      <c r="J37" s="16">
        <f t="shared" si="34"/>
        <v>0</v>
      </c>
      <c r="K37" s="16">
        <f t="shared" si="34"/>
        <v>0</v>
      </c>
      <c r="L37" s="16">
        <f t="shared" ref="L37" si="35">L22</f>
        <v>0</v>
      </c>
      <c r="M37" s="16">
        <f t="shared" si="34"/>
        <v>0</v>
      </c>
      <c r="N37" s="16">
        <f t="shared" si="34"/>
        <v>0</v>
      </c>
      <c r="O37" s="16">
        <f t="shared" si="34"/>
        <v>0</v>
      </c>
      <c r="P37" s="16">
        <f t="shared" si="34"/>
        <v>0</v>
      </c>
      <c r="Q37" s="16">
        <f t="shared" si="34"/>
        <v>0</v>
      </c>
      <c r="R37" s="16">
        <f t="shared" si="34"/>
        <v>0</v>
      </c>
      <c r="S37" s="16">
        <f t="shared" si="34"/>
        <v>0</v>
      </c>
      <c r="T37" s="16">
        <f t="shared" si="34"/>
        <v>0</v>
      </c>
      <c r="U37" s="16">
        <f t="shared" si="34"/>
        <v>0</v>
      </c>
      <c r="V37" s="16">
        <f t="shared" si="34"/>
        <v>0</v>
      </c>
      <c r="W37" s="16">
        <f t="shared" si="34"/>
        <v>0</v>
      </c>
      <c r="X37" s="16">
        <f t="shared" si="34"/>
        <v>0</v>
      </c>
      <c r="Y37" s="16">
        <f t="shared" si="34"/>
        <v>0</v>
      </c>
      <c r="Z37" s="16">
        <f t="shared" si="34"/>
        <v>0</v>
      </c>
    </row>
    <row r="38" spans="1:26" ht="30" x14ac:dyDescent="0.25">
      <c r="A38" s="25"/>
      <c r="B38" s="25"/>
      <c r="C38" s="20" t="s">
        <v>88</v>
      </c>
      <c r="D38" s="21">
        <f t="shared" ref="D38:Z38" si="36">IFERROR(D36/D37*1000,0)</f>
        <v>0</v>
      </c>
      <c r="E38" s="21">
        <f t="shared" si="36"/>
        <v>0</v>
      </c>
      <c r="F38" s="21">
        <f t="shared" si="36"/>
        <v>0</v>
      </c>
      <c r="G38" s="21">
        <f t="shared" si="36"/>
        <v>0</v>
      </c>
      <c r="H38" s="21">
        <f t="shared" si="36"/>
        <v>0</v>
      </c>
      <c r="I38" s="21">
        <f t="shared" si="36"/>
        <v>0</v>
      </c>
      <c r="J38" s="21">
        <f t="shared" si="36"/>
        <v>0</v>
      </c>
      <c r="K38" s="21">
        <f t="shared" si="36"/>
        <v>0</v>
      </c>
      <c r="L38" s="21">
        <f t="shared" ref="L38" si="37">IFERROR(L36/L37*1000,0)</f>
        <v>0</v>
      </c>
      <c r="M38" s="21">
        <f t="shared" si="36"/>
        <v>0</v>
      </c>
      <c r="N38" s="21">
        <f t="shared" si="36"/>
        <v>0</v>
      </c>
      <c r="O38" s="21">
        <f t="shared" si="36"/>
        <v>0</v>
      </c>
      <c r="P38" s="21">
        <f t="shared" si="36"/>
        <v>0</v>
      </c>
      <c r="Q38" s="21">
        <f t="shared" si="36"/>
        <v>0</v>
      </c>
      <c r="R38" s="21">
        <f t="shared" si="36"/>
        <v>0</v>
      </c>
      <c r="S38" s="21">
        <f t="shared" si="36"/>
        <v>0</v>
      </c>
      <c r="T38" s="21">
        <f t="shared" si="36"/>
        <v>0</v>
      </c>
      <c r="U38" s="21">
        <f t="shared" si="36"/>
        <v>0</v>
      </c>
      <c r="V38" s="21">
        <f t="shared" si="36"/>
        <v>0</v>
      </c>
      <c r="W38" s="21">
        <f t="shared" si="36"/>
        <v>0</v>
      </c>
      <c r="X38" s="21">
        <f t="shared" si="36"/>
        <v>0</v>
      </c>
      <c r="Y38" s="21">
        <f t="shared" si="36"/>
        <v>0</v>
      </c>
      <c r="Z38" s="21">
        <f t="shared" si="36"/>
        <v>0</v>
      </c>
    </row>
    <row r="39" spans="1:26" ht="30" x14ac:dyDescent="0.25">
      <c r="A39" s="25" t="s">
        <v>86</v>
      </c>
      <c r="B39" s="25" t="s">
        <v>63</v>
      </c>
      <c r="C39" s="18" t="s">
        <v>89</v>
      </c>
      <c r="D39" s="19"/>
      <c r="E39" s="19"/>
      <c r="F39" s="19"/>
      <c r="G39" s="19"/>
      <c r="H39" s="19"/>
      <c r="I39" s="19"/>
      <c r="J39" s="19"/>
      <c r="K39" s="19"/>
      <c r="L39" s="19"/>
      <c r="M39" s="19"/>
      <c r="N39" s="19"/>
      <c r="O39" s="19"/>
      <c r="P39" s="19"/>
      <c r="Q39" s="19"/>
      <c r="R39" s="19"/>
      <c r="S39" s="19"/>
      <c r="T39" s="19"/>
      <c r="U39" s="19"/>
      <c r="V39" s="19"/>
      <c r="W39" s="19"/>
      <c r="X39" s="19"/>
      <c r="Y39" s="19"/>
      <c r="Z39" s="19"/>
    </row>
    <row r="40" spans="1:26" x14ac:dyDescent="0.25">
      <c r="A40" s="25"/>
      <c r="B40" s="25"/>
      <c r="C40" s="18" t="s">
        <v>27</v>
      </c>
      <c r="D40" s="16">
        <f>D25</f>
        <v>0</v>
      </c>
      <c r="E40" s="16">
        <f t="shared" ref="E40:Z40" si="38">E25</f>
        <v>0</v>
      </c>
      <c r="F40" s="16">
        <f t="shared" si="38"/>
        <v>0</v>
      </c>
      <c r="G40" s="16">
        <f t="shared" si="38"/>
        <v>0</v>
      </c>
      <c r="H40" s="16">
        <f t="shared" si="38"/>
        <v>0</v>
      </c>
      <c r="I40" s="16">
        <f t="shared" si="38"/>
        <v>0</v>
      </c>
      <c r="J40" s="16">
        <f t="shared" si="38"/>
        <v>0</v>
      </c>
      <c r="K40" s="16">
        <f t="shared" si="38"/>
        <v>0</v>
      </c>
      <c r="L40" s="16">
        <f t="shared" ref="L40" si="39">L25</f>
        <v>0</v>
      </c>
      <c r="M40" s="16">
        <f t="shared" si="38"/>
        <v>0</v>
      </c>
      <c r="N40" s="16">
        <f t="shared" si="38"/>
        <v>0</v>
      </c>
      <c r="O40" s="16">
        <f t="shared" si="38"/>
        <v>0</v>
      </c>
      <c r="P40" s="16">
        <f t="shared" si="38"/>
        <v>0</v>
      </c>
      <c r="Q40" s="16">
        <f t="shared" si="38"/>
        <v>0</v>
      </c>
      <c r="R40" s="16">
        <f t="shared" si="38"/>
        <v>0</v>
      </c>
      <c r="S40" s="16">
        <f t="shared" si="38"/>
        <v>0</v>
      </c>
      <c r="T40" s="16">
        <f t="shared" si="38"/>
        <v>0</v>
      </c>
      <c r="U40" s="16">
        <f t="shared" si="38"/>
        <v>0</v>
      </c>
      <c r="V40" s="16">
        <f t="shared" si="38"/>
        <v>0</v>
      </c>
      <c r="W40" s="16">
        <f t="shared" si="38"/>
        <v>0</v>
      </c>
      <c r="X40" s="16">
        <f t="shared" si="38"/>
        <v>0</v>
      </c>
      <c r="Y40" s="16">
        <f t="shared" si="38"/>
        <v>0</v>
      </c>
      <c r="Z40" s="16">
        <f t="shared" si="38"/>
        <v>0</v>
      </c>
    </row>
    <row r="41" spans="1:26" ht="30" x14ac:dyDescent="0.25">
      <c r="A41" s="25"/>
      <c r="B41" s="25"/>
      <c r="C41" s="20" t="s">
        <v>90</v>
      </c>
      <c r="D41" s="21">
        <f t="shared" ref="D41:Z41" si="40">IFERROR(D39/D40*1000,0)</f>
        <v>0</v>
      </c>
      <c r="E41" s="21">
        <f t="shared" si="40"/>
        <v>0</v>
      </c>
      <c r="F41" s="21">
        <f t="shared" si="40"/>
        <v>0</v>
      </c>
      <c r="G41" s="21">
        <f t="shared" si="40"/>
        <v>0</v>
      </c>
      <c r="H41" s="21">
        <f t="shared" si="40"/>
        <v>0</v>
      </c>
      <c r="I41" s="21">
        <f t="shared" si="40"/>
        <v>0</v>
      </c>
      <c r="J41" s="21">
        <f t="shared" si="40"/>
        <v>0</v>
      </c>
      <c r="K41" s="21">
        <f t="shared" si="40"/>
        <v>0</v>
      </c>
      <c r="L41" s="21">
        <f t="shared" ref="L41" si="41">IFERROR(L39/L40*1000,0)</f>
        <v>0</v>
      </c>
      <c r="M41" s="21">
        <f t="shared" si="40"/>
        <v>0</v>
      </c>
      <c r="N41" s="21">
        <f t="shared" si="40"/>
        <v>0</v>
      </c>
      <c r="O41" s="21">
        <f t="shared" si="40"/>
        <v>0</v>
      </c>
      <c r="P41" s="21">
        <f t="shared" si="40"/>
        <v>0</v>
      </c>
      <c r="Q41" s="21">
        <f t="shared" si="40"/>
        <v>0</v>
      </c>
      <c r="R41" s="21">
        <f t="shared" si="40"/>
        <v>0</v>
      </c>
      <c r="S41" s="21">
        <f t="shared" si="40"/>
        <v>0</v>
      </c>
      <c r="T41" s="21">
        <f t="shared" si="40"/>
        <v>0</v>
      </c>
      <c r="U41" s="21">
        <f t="shared" si="40"/>
        <v>0</v>
      </c>
      <c r="V41" s="21">
        <f t="shared" si="40"/>
        <v>0</v>
      </c>
      <c r="W41" s="21">
        <f t="shared" si="40"/>
        <v>0</v>
      </c>
      <c r="X41" s="21">
        <f t="shared" si="40"/>
        <v>0</v>
      </c>
      <c r="Y41" s="21">
        <f t="shared" si="40"/>
        <v>0</v>
      </c>
      <c r="Z41" s="21">
        <f t="shared" si="40"/>
        <v>0</v>
      </c>
    </row>
    <row r="42" spans="1:26" ht="30" x14ac:dyDescent="0.25">
      <c r="A42" s="25" t="s">
        <v>91</v>
      </c>
      <c r="B42" s="25" t="s">
        <v>63</v>
      </c>
      <c r="C42" s="18" t="s">
        <v>92</v>
      </c>
      <c r="D42" s="19"/>
      <c r="E42" s="19"/>
      <c r="F42" s="19"/>
      <c r="G42" s="19"/>
      <c r="H42" s="19"/>
      <c r="I42" s="19"/>
      <c r="J42" s="19"/>
      <c r="K42" s="19"/>
      <c r="L42" s="19"/>
      <c r="M42" s="19"/>
      <c r="N42" s="19"/>
      <c r="O42" s="19"/>
      <c r="P42" s="19"/>
      <c r="Q42" s="19"/>
      <c r="R42" s="19"/>
      <c r="S42" s="19"/>
      <c r="T42" s="19"/>
      <c r="U42" s="19"/>
      <c r="V42" s="19"/>
      <c r="W42" s="19"/>
      <c r="X42" s="19"/>
      <c r="Y42" s="19"/>
      <c r="Z42" s="19"/>
    </row>
    <row r="43" spans="1:26" x14ac:dyDescent="0.25">
      <c r="A43" s="25"/>
      <c r="B43" s="25"/>
      <c r="C43" s="18" t="s">
        <v>27</v>
      </c>
      <c r="D43" s="21">
        <f t="shared" ref="D43:Z43" si="42">D7</f>
        <v>0</v>
      </c>
      <c r="E43" s="21">
        <f t="shared" si="42"/>
        <v>0</v>
      </c>
      <c r="F43" s="21">
        <f t="shared" si="42"/>
        <v>0</v>
      </c>
      <c r="G43" s="21">
        <f t="shared" si="42"/>
        <v>0</v>
      </c>
      <c r="H43" s="21">
        <f t="shared" si="42"/>
        <v>0</v>
      </c>
      <c r="I43" s="21">
        <f t="shared" si="42"/>
        <v>0</v>
      </c>
      <c r="J43" s="21">
        <f t="shared" si="42"/>
        <v>0</v>
      </c>
      <c r="K43" s="21">
        <f t="shared" si="42"/>
        <v>0</v>
      </c>
      <c r="L43" s="21">
        <f t="shared" ref="L43" si="43">L7</f>
        <v>0</v>
      </c>
      <c r="M43" s="21">
        <f t="shared" si="42"/>
        <v>0</v>
      </c>
      <c r="N43" s="21">
        <f t="shared" si="42"/>
        <v>0</v>
      </c>
      <c r="O43" s="21">
        <f t="shared" si="42"/>
        <v>0</v>
      </c>
      <c r="P43" s="21">
        <f t="shared" si="42"/>
        <v>0</v>
      </c>
      <c r="Q43" s="21">
        <f t="shared" si="42"/>
        <v>0</v>
      </c>
      <c r="R43" s="21">
        <f t="shared" si="42"/>
        <v>0</v>
      </c>
      <c r="S43" s="21">
        <f t="shared" si="42"/>
        <v>0</v>
      </c>
      <c r="T43" s="21">
        <f t="shared" si="42"/>
        <v>0</v>
      </c>
      <c r="U43" s="21">
        <f t="shared" si="42"/>
        <v>0</v>
      </c>
      <c r="V43" s="21">
        <f t="shared" si="42"/>
        <v>0</v>
      </c>
      <c r="W43" s="21">
        <f t="shared" si="42"/>
        <v>0</v>
      </c>
      <c r="X43" s="21">
        <f t="shared" si="42"/>
        <v>0</v>
      </c>
      <c r="Y43" s="21">
        <f t="shared" si="42"/>
        <v>0</v>
      </c>
      <c r="Z43" s="21">
        <f t="shared" si="42"/>
        <v>0</v>
      </c>
    </row>
    <row r="44" spans="1:26" ht="30" x14ac:dyDescent="0.25">
      <c r="A44" s="25"/>
      <c r="B44" s="25"/>
      <c r="C44" s="20" t="s">
        <v>92</v>
      </c>
      <c r="D44" s="21">
        <f t="shared" ref="D44:Z44" si="44">IFERROR(D42/D43*1000,0)</f>
        <v>0</v>
      </c>
      <c r="E44" s="21">
        <f t="shared" si="44"/>
        <v>0</v>
      </c>
      <c r="F44" s="21">
        <f t="shared" si="44"/>
        <v>0</v>
      </c>
      <c r="G44" s="21">
        <f t="shared" si="44"/>
        <v>0</v>
      </c>
      <c r="H44" s="21">
        <f t="shared" si="44"/>
        <v>0</v>
      </c>
      <c r="I44" s="21">
        <f t="shared" si="44"/>
        <v>0</v>
      </c>
      <c r="J44" s="21">
        <f t="shared" si="44"/>
        <v>0</v>
      </c>
      <c r="K44" s="21">
        <f t="shared" si="44"/>
        <v>0</v>
      </c>
      <c r="L44" s="21">
        <f t="shared" ref="L44" si="45">IFERROR(L42/L43*1000,0)</f>
        <v>0</v>
      </c>
      <c r="M44" s="21">
        <f t="shared" si="44"/>
        <v>0</v>
      </c>
      <c r="N44" s="21">
        <f t="shared" si="44"/>
        <v>0</v>
      </c>
      <c r="O44" s="21">
        <f t="shared" si="44"/>
        <v>0</v>
      </c>
      <c r="P44" s="21">
        <f t="shared" si="44"/>
        <v>0</v>
      </c>
      <c r="Q44" s="21">
        <f t="shared" si="44"/>
        <v>0</v>
      </c>
      <c r="R44" s="21">
        <f t="shared" si="44"/>
        <v>0</v>
      </c>
      <c r="S44" s="21">
        <f t="shared" si="44"/>
        <v>0</v>
      </c>
      <c r="T44" s="21">
        <f t="shared" si="44"/>
        <v>0</v>
      </c>
      <c r="U44" s="21">
        <f t="shared" si="44"/>
        <v>0</v>
      </c>
      <c r="V44" s="21">
        <f t="shared" si="44"/>
        <v>0</v>
      </c>
      <c r="W44" s="21">
        <f t="shared" si="44"/>
        <v>0</v>
      </c>
      <c r="X44" s="21">
        <f t="shared" si="44"/>
        <v>0</v>
      </c>
      <c r="Y44" s="21">
        <f t="shared" si="44"/>
        <v>0</v>
      </c>
      <c r="Z44" s="21">
        <f t="shared" si="44"/>
        <v>0</v>
      </c>
    </row>
    <row r="45" spans="1:26" ht="30" x14ac:dyDescent="0.25">
      <c r="A45" s="28" t="s">
        <v>91</v>
      </c>
      <c r="B45" s="28" t="s">
        <v>63</v>
      </c>
      <c r="C45" s="18" t="s">
        <v>93</v>
      </c>
      <c r="D45" s="19"/>
      <c r="E45" s="19"/>
      <c r="F45" s="19"/>
      <c r="G45" s="19"/>
      <c r="H45" s="19"/>
      <c r="I45" s="19"/>
      <c r="J45" s="19"/>
      <c r="K45" s="19"/>
      <c r="L45" s="19"/>
      <c r="M45" s="19"/>
      <c r="N45" s="19"/>
      <c r="O45" s="19"/>
      <c r="P45" s="19"/>
      <c r="Q45" s="19"/>
      <c r="R45" s="19"/>
      <c r="S45" s="19"/>
      <c r="T45" s="19"/>
      <c r="U45" s="19"/>
      <c r="V45" s="19"/>
      <c r="W45" s="19"/>
      <c r="X45" s="19"/>
      <c r="Y45" s="19"/>
      <c r="Z45" s="19"/>
    </row>
    <row r="46" spans="1:26" x14ac:dyDescent="0.25">
      <c r="A46" s="28"/>
      <c r="B46" s="28"/>
      <c r="C46" s="18" t="s">
        <v>27</v>
      </c>
      <c r="D46" s="16">
        <f>D43</f>
        <v>0</v>
      </c>
      <c r="E46" s="16">
        <f t="shared" ref="E46:Z46" si="46">E43</f>
        <v>0</v>
      </c>
      <c r="F46" s="16">
        <f t="shared" si="46"/>
        <v>0</v>
      </c>
      <c r="G46" s="16">
        <f t="shared" si="46"/>
        <v>0</v>
      </c>
      <c r="H46" s="16">
        <f t="shared" si="46"/>
        <v>0</v>
      </c>
      <c r="I46" s="16">
        <f t="shared" si="46"/>
        <v>0</v>
      </c>
      <c r="J46" s="16">
        <f t="shared" si="46"/>
        <v>0</v>
      </c>
      <c r="K46" s="16">
        <f t="shared" si="46"/>
        <v>0</v>
      </c>
      <c r="L46" s="16">
        <f t="shared" ref="L46" si="47">L43</f>
        <v>0</v>
      </c>
      <c r="M46" s="16">
        <f t="shared" si="46"/>
        <v>0</v>
      </c>
      <c r="N46" s="16">
        <f t="shared" si="46"/>
        <v>0</v>
      </c>
      <c r="O46" s="16">
        <f t="shared" si="46"/>
        <v>0</v>
      </c>
      <c r="P46" s="16">
        <f t="shared" si="46"/>
        <v>0</v>
      </c>
      <c r="Q46" s="16">
        <f t="shared" si="46"/>
        <v>0</v>
      </c>
      <c r="R46" s="16">
        <f t="shared" si="46"/>
        <v>0</v>
      </c>
      <c r="S46" s="16">
        <f t="shared" si="46"/>
        <v>0</v>
      </c>
      <c r="T46" s="16">
        <f t="shared" si="46"/>
        <v>0</v>
      </c>
      <c r="U46" s="16">
        <f t="shared" si="46"/>
        <v>0</v>
      </c>
      <c r="V46" s="16">
        <f t="shared" si="46"/>
        <v>0</v>
      </c>
      <c r="W46" s="16">
        <f t="shared" si="46"/>
        <v>0</v>
      </c>
      <c r="X46" s="16">
        <f t="shared" si="46"/>
        <v>0</v>
      </c>
      <c r="Y46" s="16">
        <f t="shared" si="46"/>
        <v>0</v>
      </c>
      <c r="Z46" s="16">
        <f t="shared" si="46"/>
        <v>0</v>
      </c>
    </row>
    <row r="47" spans="1:26" ht="30" x14ac:dyDescent="0.25">
      <c r="A47" s="28"/>
      <c r="B47" s="28"/>
      <c r="C47" s="20" t="s">
        <v>94</v>
      </c>
      <c r="D47" s="21">
        <f>IFERROR(D45/D46*1000,0)</f>
        <v>0</v>
      </c>
      <c r="E47" s="21">
        <f t="shared" ref="E47:Z47" si="48">IFERROR(E45/E46*1000,0)</f>
        <v>0</v>
      </c>
      <c r="F47" s="21">
        <f t="shared" si="48"/>
        <v>0</v>
      </c>
      <c r="G47" s="21">
        <f t="shared" si="48"/>
        <v>0</v>
      </c>
      <c r="H47" s="21">
        <f t="shared" si="48"/>
        <v>0</v>
      </c>
      <c r="I47" s="21">
        <f t="shared" si="48"/>
        <v>0</v>
      </c>
      <c r="J47" s="21">
        <f t="shared" si="48"/>
        <v>0</v>
      </c>
      <c r="K47" s="21">
        <f t="shared" si="48"/>
        <v>0</v>
      </c>
      <c r="L47" s="21">
        <f t="shared" ref="L47" si="49">IFERROR(L45/L46*1000,0)</f>
        <v>0</v>
      </c>
      <c r="M47" s="21">
        <f t="shared" si="48"/>
        <v>0</v>
      </c>
      <c r="N47" s="21">
        <f t="shared" si="48"/>
        <v>0</v>
      </c>
      <c r="O47" s="21">
        <f t="shared" si="48"/>
        <v>0</v>
      </c>
      <c r="P47" s="21">
        <f t="shared" si="48"/>
        <v>0</v>
      </c>
      <c r="Q47" s="21">
        <f t="shared" si="48"/>
        <v>0</v>
      </c>
      <c r="R47" s="21">
        <f t="shared" si="48"/>
        <v>0</v>
      </c>
      <c r="S47" s="21">
        <f t="shared" si="48"/>
        <v>0</v>
      </c>
      <c r="T47" s="21">
        <f t="shared" si="48"/>
        <v>0</v>
      </c>
      <c r="U47" s="21">
        <f t="shared" si="48"/>
        <v>0</v>
      </c>
      <c r="V47" s="21">
        <f t="shared" si="48"/>
        <v>0</v>
      </c>
      <c r="W47" s="21">
        <f t="shared" si="48"/>
        <v>0</v>
      </c>
      <c r="X47" s="21">
        <f t="shared" si="48"/>
        <v>0</v>
      </c>
      <c r="Y47" s="21">
        <f t="shared" si="48"/>
        <v>0</v>
      </c>
      <c r="Z47" s="21">
        <f t="shared" si="48"/>
        <v>0</v>
      </c>
    </row>
    <row r="48" spans="1:26" x14ac:dyDescent="0.25">
      <c r="A48" s="15" t="s">
        <v>95</v>
      </c>
      <c r="B48" s="15" t="s">
        <v>96</v>
      </c>
      <c r="C48" s="18" t="s">
        <v>29</v>
      </c>
      <c r="D48" s="19"/>
      <c r="E48" s="19"/>
      <c r="F48" s="19"/>
      <c r="G48" s="19"/>
      <c r="H48" s="19"/>
      <c r="I48" s="19"/>
      <c r="J48" s="19"/>
      <c r="K48" s="19"/>
      <c r="L48" s="19"/>
      <c r="M48" s="19"/>
      <c r="N48" s="19"/>
      <c r="O48" s="19"/>
      <c r="P48" s="19"/>
      <c r="Q48" s="19"/>
      <c r="R48" s="19"/>
      <c r="S48" s="19"/>
      <c r="T48" s="19"/>
      <c r="U48" s="19"/>
      <c r="V48" s="19"/>
      <c r="W48" s="19"/>
      <c r="X48" s="19"/>
      <c r="Y48" s="19"/>
      <c r="Z48" s="19"/>
    </row>
  </sheetData>
  <mergeCells count="37">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 ref="E4:N4"/>
    <mergeCell ref="O4:T4"/>
    <mergeCell ref="U4:Z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7:A29"/>
    <mergeCell ref="B27:B29"/>
    <mergeCell ref="A30:A32"/>
    <mergeCell ref="B30:B32"/>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8"/>
  <sheetViews>
    <sheetView workbookViewId="0">
      <selection activeCell="D4" sqref="D4"/>
    </sheetView>
  </sheetViews>
  <sheetFormatPr defaultRowHeight="15" x14ac:dyDescent="0.25"/>
  <cols>
    <col min="1" max="1" width="13.28515625" style="9" customWidth="1"/>
    <col min="2" max="7" width="16.28515625" style="9" customWidth="1"/>
    <col min="8" max="16384" width="9.140625" style="7"/>
  </cols>
  <sheetData>
    <row r="1" spans="1:7" ht="30" x14ac:dyDescent="0.25">
      <c r="A1" s="6" t="s">
        <v>97</v>
      </c>
      <c r="B1" s="6" t="s">
        <v>98</v>
      </c>
      <c r="C1" s="6" t="s">
        <v>99</v>
      </c>
      <c r="D1" s="6" t="s">
        <v>100</v>
      </c>
      <c r="E1" s="6" t="s">
        <v>101</v>
      </c>
      <c r="F1" s="6" t="s">
        <v>102</v>
      </c>
      <c r="G1" s="6" t="s">
        <v>103</v>
      </c>
    </row>
    <row r="2" spans="1:7" ht="18" customHeight="1" x14ac:dyDescent="0.25">
      <c r="A2" s="11">
        <v>46023</v>
      </c>
      <c r="B2" s="8">
        <v>46023</v>
      </c>
      <c r="C2" s="8">
        <v>46053</v>
      </c>
      <c r="D2" s="8">
        <f t="shared" ref="D2:D16" si="0">IF(WEEKDAY(C2+(7*8))=7,C2+(7*8)-1,IF(WEEKDAY(C2+(7*8))=1,C2+(7*8)-2,C2+(7*8)))</f>
        <v>46108</v>
      </c>
      <c r="E2" s="8">
        <f t="shared" ref="E2:E16" si="1">D2+7</f>
        <v>46115</v>
      </c>
      <c r="F2" s="8">
        <f t="shared" ref="F2:F16" si="2">E2</f>
        <v>46115</v>
      </c>
      <c r="G2" s="8">
        <f t="shared" ref="G2:G16" si="3">F2+7</f>
        <v>46122</v>
      </c>
    </row>
    <row r="3" spans="1:7" ht="18" customHeight="1" x14ac:dyDescent="0.25">
      <c r="A3" s="12">
        <v>46054</v>
      </c>
      <c r="B3" s="10">
        <v>46054</v>
      </c>
      <c r="C3" s="10">
        <v>46081</v>
      </c>
      <c r="D3" s="10">
        <f t="shared" si="0"/>
        <v>46136</v>
      </c>
      <c r="E3" s="10">
        <f t="shared" si="1"/>
        <v>46143</v>
      </c>
      <c r="F3" s="10">
        <f t="shared" si="2"/>
        <v>46143</v>
      </c>
      <c r="G3" s="10">
        <f t="shared" si="3"/>
        <v>46150</v>
      </c>
    </row>
    <row r="4" spans="1:7" ht="18" customHeight="1" x14ac:dyDescent="0.25">
      <c r="A4" s="11">
        <v>46082</v>
      </c>
      <c r="B4" s="8">
        <v>46082</v>
      </c>
      <c r="C4" s="8">
        <v>46112</v>
      </c>
      <c r="D4" s="8">
        <f t="shared" si="0"/>
        <v>46168</v>
      </c>
      <c r="E4" s="8">
        <f t="shared" si="1"/>
        <v>46175</v>
      </c>
      <c r="F4" s="8">
        <f t="shared" si="2"/>
        <v>46175</v>
      </c>
      <c r="G4" s="8">
        <f t="shared" si="3"/>
        <v>46182</v>
      </c>
    </row>
    <row r="5" spans="1:7" ht="18" customHeight="1" x14ac:dyDescent="0.25">
      <c r="A5" s="12">
        <v>46113</v>
      </c>
      <c r="B5" s="10">
        <v>46113</v>
      </c>
      <c r="C5" s="10">
        <v>46142</v>
      </c>
      <c r="D5" s="10">
        <f t="shared" si="0"/>
        <v>46198</v>
      </c>
      <c r="E5" s="10">
        <f t="shared" si="1"/>
        <v>46205</v>
      </c>
      <c r="F5" s="10">
        <f t="shared" si="2"/>
        <v>46205</v>
      </c>
      <c r="G5" s="10">
        <f t="shared" si="3"/>
        <v>46212</v>
      </c>
    </row>
    <row r="6" spans="1:7" ht="18" customHeight="1" x14ac:dyDescent="0.25">
      <c r="A6" s="11">
        <v>46143</v>
      </c>
      <c r="B6" s="8">
        <v>46143</v>
      </c>
      <c r="C6" s="8">
        <v>46173</v>
      </c>
      <c r="D6" s="8">
        <f t="shared" si="0"/>
        <v>46227</v>
      </c>
      <c r="E6" s="8">
        <f t="shared" si="1"/>
        <v>46234</v>
      </c>
      <c r="F6" s="8">
        <f t="shared" si="2"/>
        <v>46234</v>
      </c>
      <c r="G6" s="8">
        <f t="shared" si="3"/>
        <v>46241</v>
      </c>
    </row>
    <row r="7" spans="1:7" ht="18" customHeight="1" x14ac:dyDescent="0.25">
      <c r="A7" s="12">
        <v>46174</v>
      </c>
      <c r="B7" s="10">
        <v>46174</v>
      </c>
      <c r="C7" s="10">
        <v>46203</v>
      </c>
      <c r="D7" s="10">
        <f t="shared" si="0"/>
        <v>46259</v>
      </c>
      <c r="E7" s="10">
        <f t="shared" si="1"/>
        <v>46266</v>
      </c>
      <c r="F7" s="10">
        <f t="shared" si="2"/>
        <v>46266</v>
      </c>
      <c r="G7" s="10">
        <f t="shared" si="3"/>
        <v>46273</v>
      </c>
    </row>
    <row r="8" spans="1:7" ht="18" customHeight="1" x14ac:dyDescent="0.25">
      <c r="A8" s="11">
        <v>46204</v>
      </c>
      <c r="B8" s="8">
        <v>46204</v>
      </c>
      <c r="C8" s="8">
        <v>46234</v>
      </c>
      <c r="D8" s="8">
        <f t="shared" si="0"/>
        <v>46290</v>
      </c>
      <c r="E8" s="8">
        <f t="shared" si="1"/>
        <v>46297</v>
      </c>
      <c r="F8" s="8">
        <f t="shared" si="2"/>
        <v>46297</v>
      </c>
      <c r="G8" s="8">
        <f t="shared" si="3"/>
        <v>46304</v>
      </c>
    </row>
    <row r="9" spans="1:7" ht="18" customHeight="1" x14ac:dyDescent="0.25">
      <c r="A9" s="12">
        <v>46235</v>
      </c>
      <c r="B9" s="10">
        <v>46235</v>
      </c>
      <c r="C9" s="10">
        <v>46265</v>
      </c>
      <c r="D9" s="10">
        <f t="shared" si="0"/>
        <v>46321</v>
      </c>
      <c r="E9" s="10">
        <f t="shared" si="1"/>
        <v>46328</v>
      </c>
      <c r="F9" s="10">
        <f t="shared" si="2"/>
        <v>46328</v>
      </c>
      <c r="G9" s="10">
        <f t="shared" si="3"/>
        <v>46335</v>
      </c>
    </row>
    <row r="10" spans="1:7" ht="18" customHeight="1" x14ac:dyDescent="0.25">
      <c r="A10" s="11">
        <v>46266</v>
      </c>
      <c r="B10" s="8">
        <v>46266</v>
      </c>
      <c r="C10" s="8">
        <v>46295</v>
      </c>
      <c r="D10" s="8">
        <f t="shared" si="0"/>
        <v>46351</v>
      </c>
      <c r="E10" s="8">
        <f t="shared" si="1"/>
        <v>46358</v>
      </c>
      <c r="F10" s="8">
        <f t="shared" si="2"/>
        <v>46358</v>
      </c>
      <c r="G10" s="8">
        <f t="shared" si="3"/>
        <v>46365</v>
      </c>
    </row>
    <row r="11" spans="1:7" ht="18" customHeight="1" x14ac:dyDescent="0.25">
      <c r="A11" s="12">
        <v>46296</v>
      </c>
      <c r="B11" s="10">
        <v>46296</v>
      </c>
      <c r="C11" s="10">
        <v>46326</v>
      </c>
      <c r="D11" s="10">
        <f t="shared" si="0"/>
        <v>46381</v>
      </c>
      <c r="E11" s="10">
        <f t="shared" si="1"/>
        <v>46388</v>
      </c>
      <c r="F11" s="10">
        <f t="shared" si="2"/>
        <v>46388</v>
      </c>
      <c r="G11" s="10">
        <f t="shared" si="3"/>
        <v>46395</v>
      </c>
    </row>
    <row r="12" spans="1:7" ht="18" customHeight="1" x14ac:dyDescent="0.25">
      <c r="A12" s="11">
        <v>46327</v>
      </c>
      <c r="B12" s="8">
        <v>46327</v>
      </c>
      <c r="C12" s="8">
        <v>46356</v>
      </c>
      <c r="D12" s="8">
        <f t="shared" si="0"/>
        <v>46412</v>
      </c>
      <c r="E12" s="8">
        <f t="shared" si="1"/>
        <v>46419</v>
      </c>
      <c r="F12" s="8">
        <f t="shared" si="2"/>
        <v>46419</v>
      </c>
      <c r="G12" s="8">
        <f t="shared" si="3"/>
        <v>46426</v>
      </c>
    </row>
    <row r="13" spans="1:7" ht="18" customHeight="1" x14ac:dyDescent="0.25">
      <c r="A13" s="12">
        <v>46357</v>
      </c>
      <c r="B13" s="10">
        <v>46357</v>
      </c>
      <c r="C13" s="10">
        <v>46387</v>
      </c>
      <c r="D13" s="10">
        <f t="shared" si="0"/>
        <v>46443</v>
      </c>
      <c r="E13" s="10">
        <f t="shared" si="1"/>
        <v>46450</v>
      </c>
      <c r="F13" s="10">
        <f t="shared" si="2"/>
        <v>46450</v>
      </c>
      <c r="G13" s="10">
        <f t="shared" si="3"/>
        <v>46457</v>
      </c>
    </row>
    <row r="14" spans="1:7" ht="18" customHeight="1" x14ac:dyDescent="0.25">
      <c r="A14" s="11">
        <v>46388</v>
      </c>
      <c r="B14" s="8">
        <v>46388</v>
      </c>
      <c r="C14" s="8">
        <v>46418</v>
      </c>
      <c r="D14" s="8">
        <f t="shared" si="0"/>
        <v>46472</v>
      </c>
      <c r="E14" s="8">
        <f t="shared" si="1"/>
        <v>46479</v>
      </c>
      <c r="F14" s="8">
        <f t="shared" si="2"/>
        <v>46479</v>
      </c>
      <c r="G14" s="8">
        <f t="shared" si="3"/>
        <v>46486</v>
      </c>
    </row>
    <row r="15" spans="1:7" ht="18" customHeight="1" x14ac:dyDescent="0.25">
      <c r="A15" s="12">
        <v>46419</v>
      </c>
      <c r="B15" s="10">
        <v>46419</v>
      </c>
      <c r="C15" s="10">
        <v>46446</v>
      </c>
      <c r="D15" s="10">
        <f t="shared" si="0"/>
        <v>46500</v>
      </c>
      <c r="E15" s="10">
        <f t="shared" si="1"/>
        <v>46507</v>
      </c>
      <c r="F15" s="10">
        <f t="shared" si="2"/>
        <v>46507</v>
      </c>
      <c r="G15" s="10">
        <f t="shared" si="3"/>
        <v>46514</v>
      </c>
    </row>
    <row r="16" spans="1:7" ht="18" customHeight="1" x14ac:dyDescent="0.25">
      <c r="A16" s="11">
        <v>46447</v>
      </c>
      <c r="B16" s="8">
        <v>46447</v>
      </c>
      <c r="C16" s="8">
        <v>46477</v>
      </c>
      <c r="D16" s="8">
        <f t="shared" si="0"/>
        <v>46533</v>
      </c>
      <c r="E16" s="8">
        <f t="shared" si="1"/>
        <v>46540</v>
      </c>
      <c r="F16" s="8">
        <f t="shared" si="2"/>
        <v>46540</v>
      </c>
      <c r="G16" s="8">
        <f t="shared" si="3"/>
        <v>46547</v>
      </c>
    </row>
    <row r="18" spans="1:1" x14ac:dyDescent="0.25">
      <c r="A18"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workbookViewId="0">
      <pane ySplit="1" topLeftCell="A2" activePane="bottomLeft" state="frozen"/>
      <selection pane="bottomLeft" activeCell="A2" sqref="A2:XFD2"/>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3" t="s">
        <v>10</v>
      </c>
      <c r="B1" s="3" t="s">
        <v>104</v>
      </c>
      <c r="C1" s="3" t="s">
        <v>105</v>
      </c>
    </row>
    <row r="2" spans="1:3" ht="90" x14ac:dyDescent="0.25">
      <c r="A2" s="4" t="s">
        <v>65</v>
      </c>
      <c r="B2" s="4" t="s">
        <v>106</v>
      </c>
      <c r="C2" s="4" t="s">
        <v>107</v>
      </c>
    </row>
    <row r="3" spans="1:3" ht="90" x14ac:dyDescent="0.25">
      <c r="A3" s="4" t="s">
        <v>67</v>
      </c>
      <c r="B3" s="4" t="s">
        <v>108</v>
      </c>
      <c r="C3" s="4" t="s">
        <v>107</v>
      </c>
    </row>
    <row r="4" spans="1:3" ht="90" x14ac:dyDescent="0.25">
      <c r="A4" s="4" t="s">
        <v>69</v>
      </c>
      <c r="B4" s="4" t="s">
        <v>109</v>
      </c>
      <c r="C4" s="4" t="s">
        <v>107</v>
      </c>
    </row>
    <row r="5" spans="1:3" ht="90" x14ac:dyDescent="0.25">
      <c r="A5" s="4" t="s">
        <v>72</v>
      </c>
      <c r="B5" s="4" t="s">
        <v>110</v>
      </c>
      <c r="C5" s="4" t="s">
        <v>107</v>
      </c>
    </row>
    <row r="6" spans="1:3" ht="90" x14ac:dyDescent="0.25">
      <c r="A6" s="4" t="s">
        <v>111</v>
      </c>
      <c r="B6" s="4" t="s">
        <v>112</v>
      </c>
      <c r="C6" s="4" t="s">
        <v>107</v>
      </c>
    </row>
    <row r="7" spans="1:3" ht="90" x14ac:dyDescent="0.25">
      <c r="A7" s="4" t="s">
        <v>76</v>
      </c>
      <c r="B7" s="4" t="s">
        <v>113</v>
      </c>
      <c r="C7" s="4" t="s">
        <v>107</v>
      </c>
    </row>
    <row r="8" spans="1:3" ht="90" x14ac:dyDescent="0.25">
      <c r="A8" s="4" t="s">
        <v>79</v>
      </c>
      <c r="B8" s="4" t="s">
        <v>114</v>
      </c>
      <c r="C8" s="4" t="s">
        <v>107</v>
      </c>
    </row>
    <row r="9" spans="1:3" ht="90" x14ac:dyDescent="0.25">
      <c r="A9" s="4" t="s">
        <v>81</v>
      </c>
      <c r="B9" s="4" t="s">
        <v>115</v>
      </c>
      <c r="C9" s="4" t="s">
        <v>107</v>
      </c>
    </row>
    <row r="10" spans="1:3" ht="90" x14ac:dyDescent="0.25">
      <c r="A10" s="4" t="s">
        <v>83</v>
      </c>
      <c r="B10" s="4" t="s">
        <v>116</v>
      </c>
      <c r="C10" s="4" t="s">
        <v>107</v>
      </c>
    </row>
    <row r="11" spans="1:3" ht="90" x14ac:dyDescent="0.25">
      <c r="A11" s="4" t="s">
        <v>85</v>
      </c>
      <c r="B11" s="4" t="s">
        <v>117</v>
      </c>
      <c r="C11" s="4" t="s">
        <v>107</v>
      </c>
    </row>
    <row r="12" spans="1:3" ht="60" x14ac:dyDescent="0.25">
      <c r="A12" s="4" t="s">
        <v>118</v>
      </c>
      <c r="B12" s="4" t="s">
        <v>119</v>
      </c>
      <c r="C12" s="4" t="s">
        <v>107</v>
      </c>
    </row>
    <row r="13" spans="1:3" ht="60" x14ac:dyDescent="0.25">
      <c r="A13" s="4" t="s">
        <v>120</v>
      </c>
      <c r="B13" s="4" t="s">
        <v>121</v>
      </c>
      <c r="C13" s="4" t="s">
        <v>107</v>
      </c>
    </row>
    <row r="14" spans="1:3" ht="90" x14ac:dyDescent="0.25">
      <c r="A14" s="4" t="s">
        <v>92</v>
      </c>
      <c r="B14" s="4" t="s">
        <v>122</v>
      </c>
      <c r="C14" s="4" t="s">
        <v>107</v>
      </c>
    </row>
    <row r="15" spans="1:3" ht="90" x14ac:dyDescent="0.25">
      <c r="A15" s="4" t="s">
        <v>94</v>
      </c>
      <c r="B15" s="4" t="s">
        <v>123</v>
      </c>
      <c r="C15" s="4" t="s">
        <v>107</v>
      </c>
    </row>
    <row r="16" spans="1:3" ht="45" x14ac:dyDescent="0.25">
      <c r="A16" s="4" t="s">
        <v>29</v>
      </c>
      <c r="B16" s="4" t="s">
        <v>124</v>
      </c>
      <c r="C16"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29" t="s">
        <v>125</v>
      </c>
      <c r="B1" s="29"/>
      <c r="C1" s="29"/>
      <c r="D1" s="29"/>
      <c r="E1" s="29"/>
      <c r="F1" s="29"/>
      <c r="G1" s="29"/>
      <c r="H1" s="29"/>
      <c r="I1" s="29"/>
      <c r="J1" s="29"/>
    </row>
    <row r="2" spans="1:10" ht="80.45" customHeight="1" x14ac:dyDescent="0.25">
      <c r="A2" s="31" t="s">
        <v>126</v>
      </c>
      <c r="B2" s="30"/>
      <c r="C2" s="30"/>
      <c r="D2" s="30"/>
      <c r="E2" s="30"/>
      <c r="F2" s="30"/>
      <c r="G2" s="30"/>
      <c r="H2" s="30"/>
      <c r="I2" s="30"/>
      <c r="J2" s="30"/>
    </row>
    <row r="3" spans="1:10" x14ac:dyDescent="0.25">
      <c r="A3" s="29" t="s">
        <v>127</v>
      </c>
      <c r="B3" s="29"/>
      <c r="C3" s="29"/>
      <c r="D3" s="29"/>
      <c r="E3" s="29"/>
      <c r="F3" s="29"/>
      <c r="G3" s="29"/>
      <c r="H3" s="29"/>
      <c r="I3" s="29"/>
      <c r="J3" s="29"/>
    </row>
    <row r="4" spans="1:10" ht="333" customHeight="1" x14ac:dyDescent="0.25">
      <c r="A4" s="30" t="s">
        <v>128</v>
      </c>
      <c r="B4" s="30"/>
      <c r="C4" s="30"/>
      <c r="D4" s="30"/>
      <c r="E4" s="30"/>
      <c r="F4" s="30"/>
      <c r="G4" s="30"/>
      <c r="H4" s="30"/>
      <c r="I4" s="30"/>
      <c r="J4" s="30"/>
    </row>
    <row r="5" spans="1:10" ht="111.6" customHeight="1" x14ac:dyDescent="0.25">
      <c r="A5" s="30" t="s">
        <v>129</v>
      </c>
      <c r="B5" s="30"/>
      <c r="C5" s="30"/>
      <c r="D5" s="30"/>
      <c r="E5" s="30"/>
      <c r="F5" s="30"/>
      <c r="G5" s="30"/>
      <c r="H5" s="30"/>
      <c r="I5" s="30"/>
      <c r="J5" s="30"/>
    </row>
    <row r="6" spans="1:10" x14ac:dyDescent="0.25">
      <c r="A6" s="29" t="s">
        <v>130</v>
      </c>
      <c r="B6" s="29"/>
      <c r="C6" s="29"/>
      <c r="D6" s="29"/>
      <c r="E6" s="29"/>
      <c r="F6" s="29"/>
      <c r="G6" s="29"/>
      <c r="H6" s="29"/>
      <c r="I6" s="29"/>
      <c r="J6" s="29"/>
    </row>
    <row r="7" spans="1:10" x14ac:dyDescent="0.25">
      <c r="A7" s="30" t="s">
        <v>131</v>
      </c>
      <c r="B7" s="30"/>
      <c r="C7" s="30"/>
      <c r="D7" s="30"/>
      <c r="E7" s="30"/>
      <c r="F7" s="30"/>
      <c r="G7" s="30"/>
      <c r="H7" s="30"/>
      <c r="I7" s="30"/>
      <c r="J7" s="30"/>
    </row>
    <row r="8" spans="1:10" ht="38.450000000000003" customHeight="1" x14ac:dyDescent="0.25">
      <c r="A8" s="32" t="s">
        <v>132</v>
      </c>
      <c r="B8" s="32"/>
      <c r="C8" s="32"/>
      <c r="D8" s="32"/>
      <c r="E8" s="32"/>
      <c r="F8" s="32"/>
      <c r="G8" s="32"/>
      <c r="H8" s="32"/>
      <c r="I8" s="32"/>
      <c r="J8" s="32"/>
    </row>
    <row r="9" spans="1:10" x14ac:dyDescent="0.25">
      <c r="A9" s="29" t="s">
        <v>133</v>
      </c>
      <c r="B9" s="29"/>
      <c r="C9" s="29"/>
      <c r="D9" s="29"/>
      <c r="E9" s="29"/>
      <c r="F9" s="29"/>
      <c r="G9" s="29"/>
      <c r="H9" s="29"/>
      <c r="I9" s="29"/>
      <c r="J9" s="29"/>
    </row>
    <row r="10" spans="1:10" ht="63.95" customHeight="1" x14ac:dyDescent="0.25">
      <c r="A10" s="30" t="s">
        <v>134</v>
      </c>
      <c r="B10" s="30"/>
      <c r="C10" s="30"/>
      <c r="D10" s="30"/>
      <c r="E10" s="30"/>
      <c r="F10" s="30"/>
      <c r="G10" s="30"/>
      <c r="H10" s="30"/>
      <c r="I10" s="30"/>
      <c r="J10" s="30"/>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pane ySplit="1" topLeftCell="A2" activePane="bottomLeft" state="frozen"/>
      <selection pane="bottomLeft" activeCell="H15" sqref="H15"/>
    </sheetView>
  </sheetViews>
  <sheetFormatPr defaultRowHeight="15" x14ac:dyDescent="0.25"/>
  <cols>
    <col min="1" max="1" width="83.85546875" customWidth="1"/>
    <col min="3" max="3" width="9.140625" style="24"/>
  </cols>
  <sheetData>
    <row r="1" spans="1:3" s="14" customFormat="1" x14ac:dyDescent="0.25">
      <c r="A1" s="14" t="s">
        <v>135</v>
      </c>
      <c r="C1" s="2" t="s">
        <v>97</v>
      </c>
    </row>
    <row r="2" spans="1:3" x14ac:dyDescent="0.25">
      <c r="A2" t="s">
        <v>136</v>
      </c>
      <c r="C2" s="23">
        <v>46023</v>
      </c>
    </row>
    <row r="3" spans="1:3" x14ac:dyDescent="0.25">
      <c r="A3" t="s">
        <v>137</v>
      </c>
      <c r="C3" s="23">
        <v>46054</v>
      </c>
    </row>
    <row r="4" spans="1:3" x14ac:dyDescent="0.25">
      <c r="A4" t="s">
        <v>138</v>
      </c>
      <c r="C4" s="23">
        <v>46082</v>
      </c>
    </row>
    <row r="5" spans="1:3" x14ac:dyDescent="0.25">
      <c r="A5" t="s">
        <v>139</v>
      </c>
      <c r="C5" s="23">
        <v>46113</v>
      </c>
    </row>
    <row r="6" spans="1:3" x14ac:dyDescent="0.25">
      <c r="A6" t="s">
        <v>140</v>
      </c>
      <c r="C6" s="23">
        <v>46143</v>
      </c>
    </row>
    <row r="7" spans="1:3" x14ac:dyDescent="0.25">
      <c r="A7" t="s">
        <v>141</v>
      </c>
      <c r="C7" s="23">
        <v>46174</v>
      </c>
    </row>
    <row r="8" spans="1:3" x14ac:dyDescent="0.25">
      <c r="A8" t="s">
        <v>142</v>
      </c>
      <c r="C8" s="23">
        <v>46204</v>
      </c>
    </row>
    <row r="9" spans="1:3" x14ac:dyDescent="0.25">
      <c r="A9" t="s">
        <v>143</v>
      </c>
      <c r="C9" s="23">
        <v>46235</v>
      </c>
    </row>
    <row r="10" spans="1:3" x14ac:dyDescent="0.25">
      <c r="A10" t="s">
        <v>144</v>
      </c>
      <c r="C10" s="23">
        <v>46266</v>
      </c>
    </row>
    <row r="11" spans="1:3" x14ac:dyDescent="0.25">
      <c r="A11" t="s">
        <v>145</v>
      </c>
      <c r="C11" s="23">
        <v>46296</v>
      </c>
    </row>
    <row r="12" spans="1:3" x14ac:dyDescent="0.25">
      <c r="A12" t="s">
        <v>146</v>
      </c>
      <c r="C12" s="23">
        <v>46327</v>
      </c>
    </row>
    <row r="13" spans="1:3" x14ac:dyDescent="0.25">
      <c r="A13" t="s">
        <v>147</v>
      </c>
      <c r="C13" s="23">
        <v>46357</v>
      </c>
    </row>
    <row r="14" spans="1:3" x14ac:dyDescent="0.25">
      <c r="A14" t="s">
        <v>148</v>
      </c>
      <c r="C14" s="23">
        <v>46388</v>
      </c>
    </row>
    <row r="15" spans="1:3" x14ac:dyDescent="0.25">
      <c r="A15" t="s">
        <v>149</v>
      </c>
      <c r="C15" s="23">
        <v>46419</v>
      </c>
    </row>
    <row r="16" spans="1:3" x14ac:dyDescent="0.25">
      <c r="A16" t="s">
        <v>150</v>
      </c>
      <c r="C16" s="23">
        <v>46447</v>
      </c>
    </row>
    <row r="17" spans="1:3" x14ac:dyDescent="0.25">
      <c r="A17" t="s">
        <v>151</v>
      </c>
      <c r="C17" s="23">
        <v>46478</v>
      </c>
    </row>
    <row r="18" spans="1:3" x14ac:dyDescent="0.25">
      <c r="A18" t="s">
        <v>152</v>
      </c>
      <c r="C18" s="23">
        <v>46508</v>
      </c>
    </row>
    <row r="19" spans="1:3" x14ac:dyDescent="0.25">
      <c r="A19" t="s">
        <v>153</v>
      </c>
      <c r="C19" s="23">
        <v>46539</v>
      </c>
    </row>
    <row r="20" spans="1:3" x14ac:dyDescent="0.25">
      <c r="A20" t="s">
        <v>154</v>
      </c>
      <c r="C20" s="23">
        <v>46569</v>
      </c>
    </row>
    <row r="21" spans="1:3" x14ac:dyDescent="0.25">
      <c r="A21" t="s">
        <v>155</v>
      </c>
      <c r="C21" s="23">
        <v>46600</v>
      </c>
    </row>
    <row r="22" spans="1:3" x14ac:dyDescent="0.25">
      <c r="A22" t="s">
        <v>156</v>
      </c>
      <c r="C22" s="23">
        <v>46631</v>
      </c>
    </row>
    <row r="23" spans="1:3" x14ac:dyDescent="0.25">
      <c r="A23" t="s">
        <v>157</v>
      </c>
      <c r="C23" s="23">
        <v>46661</v>
      </c>
    </row>
    <row r="24" spans="1:3" x14ac:dyDescent="0.25">
      <c r="A24" t="s">
        <v>158</v>
      </c>
      <c r="C24" s="23">
        <v>46692</v>
      </c>
    </row>
    <row r="25" spans="1:3" x14ac:dyDescent="0.25">
      <c r="A25" t="s">
        <v>159</v>
      </c>
      <c r="C25" s="23">
        <v>46722</v>
      </c>
    </row>
    <row r="26" spans="1:3" x14ac:dyDescent="0.25">
      <c r="A26" t="s">
        <v>160</v>
      </c>
      <c r="C26" s="23">
        <v>46753</v>
      </c>
    </row>
    <row r="27" spans="1:3" x14ac:dyDescent="0.25">
      <c r="A27" t="s">
        <v>161</v>
      </c>
      <c r="C27" s="23">
        <v>46784</v>
      </c>
    </row>
    <row r="28" spans="1:3" x14ac:dyDescent="0.25">
      <c r="A28" t="s">
        <v>162</v>
      </c>
      <c r="C28" s="23">
        <v>46813</v>
      </c>
    </row>
    <row r="29" spans="1:3" x14ac:dyDescent="0.25">
      <c r="A29" t="s">
        <v>163</v>
      </c>
      <c r="C29" s="23"/>
    </row>
    <row r="30" spans="1:3" x14ac:dyDescent="0.25">
      <c r="A30" t="s">
        <v>164</v>
      </c>
      <c r="C30" s="23"/>
    </row>
    <row r="31" spans="1:3" x14ac:dyDescent="0.25">
      <c r="A31" t="s">
        <v>165</v>
      </c>
      <c r="C31" s="23"/>
    </row>
    <row r="32" spans="1:3" x14ac:dyDescent="0.25">
      <c r="A32" t="s">
        <v>166</v>
      </c>
      <c r="C32" s="23"/>
    </row>
    <row r="33" spans="1:3" x14ac:dyDescent="0.25">
      <c r="A33" t="s">
        <v>167</v>
      </c>
      <c r="C33" s="23"/>
    </row>
    <row r="34" spans="1:3" x14ac:dyDescent="0.25">
      <c r="A34" t="s">
        <v>168</v>
      </c>
      <c r="C34" s="23"/>
    </row>
    <row r="35" spans="1:3" x14ac:dyDescent="0.25">
      <c r="A35" t="s">
        <v>169</v>
      </c>
      <c r="C35" s="23"/>
    </row>
    <row r="36" spans="1:3" x14ac:dyDescent="0.25">
      <c r="A36" t="s">
        <v>170</v>
      </c>
      <c r="C36" s="23"/>
    </row>
    <row r="37" spans="1:3" x14ac:dyDescent="0.25">
      <c r="A37" t="s">
        <v>171</v>
      </c>
    </row>
    <row r="38" spans="1:3" x14ac:dyDescent="0.25">
      <c r="A38" t="s">
        <v>172</v>
      </c>
    </row>
    <row r="39" spans="1:3" x14ac:dyDescent="0.25">
      <c r="A39" t="s">
        <v>173</v>
      </c>
    </row>
    <row r="40" spans="1:3" x14ac:dyDescent="0.25">
      <c r="A40" t="s">
        <v>174</v>
      </c>
    </row>
    <row r="41" spans="1:3" x14ac:dyDescent="0.25">
      <c r="A41" t="s">
        <v>175</v>
      </c>
    </row>
    <row r="42" spans="1:3" x14ac:dyDescent="0.25">
      <c r="A42" t="s">
        <v>176</v>
      </c>
    </row>
    <row r="43" spans="1:3" x14ac:dyDescent="0.25">
      <c r="A43" t="s">
        <v>177</v>
      </c>
    </row>
    <row r="44" spans="1:3" x14ac:dyDescent="0.25">
      <c r="A44" t="s">
        <v>178</v>
      </c>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00E7D3C5223B647BCF0704F4FD63FF8" ma:contentTypeVersion="22" ma:contentTypeDescription="Create a new document." ma:contentTypeScope="" ma:versionID="21aead5a6bf899469a23ac4779a4524c">
  <xsd:schema xmlns:xsd="http://www.w3.org/2001/XMLSchema" xmlns:xs="http://www.w3.org/2001/XMLSchema" xmlns:p="http://schemas.microsoft.com/office/2006/metadata/properties" xmlns:ns2="c3b4031e-841f-46f6-bede-a60d28c4ce79" xmlns:ns3="25f82bdf-59aa-449e-b461-28a7236b0743" targetNamespace="http://schemas.microsoft.com/office/2006/metadata/properties" ma:root="true" ma:fieldsID="8b3229852726659012cd2147ae805051" ns2:_="" ns3:_="">
    <xsd:import namespace="c3b4031e-841f-46f6-bede-a60d28c4ce79"/>
    <xsd:import namespace="25f82bdf-59aa-449e-b461-28a7236b074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LengthInSeconds" minOccurs="0"/>
                <xsd:element ref="ns2:Modifiedtime" minOccurs="0"/>
                <xsd:element ref="ns2:lcf76f155ced4ddcb4097134ff3c332f" minOccurs="0"/>
                <xsd:element ref="ns3:TaxCatchAll" minOccurs="0"/>
                <xsd:element ref="ns2:MediaServiceObjectDetectorVersions" minOccurs="0"/>
                <xsd:element ref="ns2:BidAuthor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b4031e-841f-46f6-bede-a60d28c4ce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odifiedtime" ma:index="21" nillable="true" ma:displayName="Modified time" ma:format="DateOnly" ma:internalName="Modifiedtime">
      <xsd:simpleType>
        <xsd:restriction base="dms:DateTim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e3038f7-01d3-45c6-9ff3-08a5a011bcb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BidAuthors" ma:index="26" nillable="true" ma:displayName="Bid Authors" ma:description="People to ask for support when reviewing or using this bid resource." ma:format="Dropdown" ma:list="UserInfo" ma:SharePointGroup="0" ma:internalName="BidAutho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f82bdf-59aa-449e-b461-28a7236b074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1641132-1795-47e1-8f36-e4641a423036}" ma:internalName="TaxCatchAll" ma:showField="CatchAllData" ma:web="25f82bdf-59aa-449e-b461-28a7236b07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5f82bdf-59aa-449e-b461-28a7236b0743" xsi:nil="true"/>
    <lcf76f155ced4ddcb4097134ff3c332f xmlns="c3b4031e-841f-46f6-bede-a60d28c4ce79">
      <Terms xmlns="http://schemas.microsoft.com/office/infopath/2007/PartnerControls"/>
    </lcf76f155ced4ddcb4097134ff3c332f>
    <Modifiedtime xmlns="c3b4031e-841f-46f6-bede-a60d28c4ce79" xsi:nil="true"/>
    <BidAuthors xmlns="c3b4031e-841f-46f6-bede-a60d28c4ce79">
      <UserInfo>
        <DisplayName/>
        <AccountId xsi:nil="true"/>
        <AccountType/>
      </UserInfo>
    </BidAuthors>
  </documentManagement>
</p:properties>
</file>

<file path=customXml/itemProps1.xml><?xml version="1.0" encoding="utf-8"?>
<ds:datastoreItem xmlns:ds="http://schemas.openxmlformats.org/officeDocument/2006/customXml" ds:itemID="{98737B5D-1BDE-480D-9D6A-BB8F5BBF6458}">
  <ds:schemaRefs>
    <ds:schemaRef ds:uri="http://schemas.microsoft.com/sharepoint/v3/contenttype/forms"/>
  </ds:schemaRefs>
</ds:datastoreItem>
</file>

<file path=customXml/itemProps2.xml><?xml version="1.0" encoding="utf-8"?>
<ds:datastoreItem xmlns:ds="http://schemas.openxmlformats.org/officeDocument/2006/customXml" ds:itemID="{583DA1A8-03A9-4E33-8E76-D13A8D757F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b4031e-841f-46f6-bede-a60d28c4ce79"/>
    <ds:schemaRef ds:uri="25f82bdf-59aa-449e-b461-28a7236b07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CFF731-7C0B-44F5-8D5C-52D2A36DC945}">
  <ds:schemaRefs>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http://purl.org/dc/dcmitype/"/>
    <ds:schemaRef ds:uri="http://www.w3.org/XML/1998/namespace"/>
    <ds:schemaRef ds:uri="http://schemas.microsoft.com/office/2006/metadata/properties"/>
    <ds:schemaRef ds:uri="25f82bdf-59aa-449e-b461-28a7236b0743"/>
    <ds:schemaRef ds:uri="c3b4031e-841f-46f6-bede-a60d28c4ce79"/>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Mike Woodall (Strategy Unit, hosted by ML)</dc:creator>
  <cp:keywords/>
  <dc:description/>
  <cp:lastModifiedBy>Rachel Caswell (Strategy Unit, hosted by ML)</cp:lastModifiedBy>
  <cp:revision/>
  <dcterms:created xsi:type="dcterms:W3CDTF">2025-10-16T13:36:25Z</dcterms:created>
  <dcterms:modified xsi:type="dcterms:W3CDTF">2026-05-26T09:38:35Z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0x010100F00E7D3C5223B647BCF0704F4FD63FF8</vt:lpwstr>
  </property>
</Properties>
</file>