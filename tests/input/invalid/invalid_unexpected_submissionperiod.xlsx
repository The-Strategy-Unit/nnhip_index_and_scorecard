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5" documentId="8_{E21078F7-3763-4B72-BB36-CDCCD0AFD8C9}" xr6:coauthVersionLast="47" xr6:coauthVersionMax="47" xr10:uidLastSave="{B572369F-B733-4C17-8F5A-5704B93B907E}"/>
  <bookViews>
    <workbookView xWindow="31815" yWindow="900" windowWidth="24990" windowHeight="19965"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X11" i="4" s="1"/>
  <c r="W9" i="4"/>
  <c r="V9" i="4"/>
  <c r="V11" i="4" s="1"/>
  <c r="V6" i="4"/>
  <c r="V8" i="4" s="1"/>
  <c r="U6" i="4"/>
  <c r="U8" i="4" s="1"/>
  <c r="W6" i="4"/>
  <c r="W8" i="4" s="1"/>
  <c r="X6" i="4"/>
  <c r="X8" i="4" s="1"/>
  <c r="T6" i="4"/>
  <c r="T8" i="4" s="1"/>
  <c r="R9" i="4"/>
  <c r="Q9" i="4"/>
  <c r="P9" i="4"/>
  <c r="O9" i="4"/>
  <c r="O11" i="4" s="1"/>
  <c r="N9" i="4"/>
  <c r="N6" i="4"/>
  <c r="N8" i="4" s="1"/>
  <c r="R6" i="4"/>
  <c r="R8" i="4" s="1"/>
  <c r="Q6" i="4"/>
  <c r="Q8" i="4" s="1"/>
  <c r="P6" i="4"/>
  <c r="P8" i="4" s="1"/>
  <c r="O6" i="4"/>
  <c r="O8" i="4" s="1"/>
  <c r="L9" i="4"/>
  <c r="L11" i="4" s="1"/>
  <c r="K9" i="4"/>
  <c r="K11" i="4" s="1"/>
  <c r="I9" i="4"/>
  <c r="I11" i="4" s="1"/>
  <c r="G9" i="4"/>
  <c r="G11" i="4" s="1"/>
  <c r="F9" i="4"/>
  <c r="J9" i="4"/>
  <c r="J11" i="4" s="1"/>
  <c r="H9" i="4"/>
  <c r="E9" i="4"/>
  <c r="L6" i="4"/>
  <c r="L8" i="4" s="1"/>
  <c r="E6" i="4"/>
  <c r="E8" i="4" s="1"/>
  <c r="K6" i="4"/>
  <c r="K8" i="4" s="1"/>
  <c r="J6" i="4"/>
  <c r="J8" i="4" s="1"/>
  <c r="I6" i="4"/>
  <c r="I8" i="4" s="1"/>
  <c r="H6" i="4"/>
  <c r="H8" i="4" s="1"/>
  <c r="G6" i="4"/>
  <c r="G8" i="4" s="1"/>
  <c r="F6" i="4"/>
  <c r="F8" i="4" s="1"/>
  <c r="D13" i="4"/>
  <c r="D12" i="4" s="1"/>
  <c r="O19" i="4"/>
  <c r="P19" i="4"/>
  <c r="X19" i="4"/>
  <c r="J19" i="4"/>
  <c r="K19" i="4"/>
  <c r="L19" i="4"/>
  <c r="R19" i="4"/>
  <c r="N16" i="4"/>
  <c r="N25" i="4" s="1"/>
  <c r="N40" i="4" s="1"/>
  <c r="N10" i="4"/>
  <c r="N13" i="4" s="1"/>
  <c r="Y7" i="4"/>
  <c r="T10" i="4"/>
  <c r="T13" i="4" s="1"/>
  <c r="U19" i="4"/>
  <c r="V19" i="4"/>
  <c r="E19" i="4"/>
  <c r="W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F19" i="4" l="1"/>
  <c r="F28" i="4" s="1"/>
  <c r="W11" i="4"/>
  <c r="H19" i="4"/>
  <c r="Q19" i="4"/>
  <c r="Q11" i="4"/>
  <c r="R11" i="4"/>
  <c r="I19" i="4"/>
  <c r="I28" i="4" s="1"/>
  <c r="Y10" i="4"/>
  <c r="Y13" i="4" s="1"/>
  <c r="Y48" i="4"/>
  <c r="U11" i="4"/>
  <c r="S10" i="4"/>
  <c r="S13" i="4" s="1"/>
  <c r="S48" i="4"/>
  <c r="P11" i="4"/>
  <c r="H11" i="4"/>
  <c r="M10" i="4"/>
  <c r="M13" i="4" s="1"/>
  <c r="M48" i="4"/>
  <c r="G19" i="4"/>
  <c r="G28" i="4" s="1"/>
  <c r="F11" i="4"/>
  <c r="I42" i="4"/>
  <c r="I44" i="4" s="1"/>
  <c r="X42" i="4"/>
  <c r="X44" i="4" s="1"/>
  <c r="H42" i="4"/>
  <c r="H44" i="4" s="1"/>
  <c r="T42" i="4"/>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I20" i="4" s="1"/>
  <c r="X18" i="4"/>
  <c r="X20" i="4" s="1"/>
  <c r="H18" i="4"/>
  <c r="H20" i="4" s="1"/>
  <c r="G18" i="4"/>
  <c r="V18" i="4"/>
  <c r="V20" i="4" s="1"/>
  <c r="F18" i="4"/>
  <c r="U18" i="4"/>
  <c r="U20" i="4" s="1"/>
  <c r="E18" i="4"/>
  <c r="E20" i="4" s="1"/>
  <c r="T18" i="4"/>
  <c r="W18" i="4"/>
  <c r="W20" i="4" s="1"/>
  <c r="Q18" i="4"/>
  <c r="Q20" i="4" s="1"/>
  <c r="P18" i="4"/>
  <c r="P20" i="4" s="1"/>
  <c r="N18" i="4"/>
  <c r="L18" i="4"/>
  <c r="L20" i="4" s="1"/>
  <c r="K18" i="4"/>
  <c r="K20" i="4" s="1"/>
  <c r="J18" i="4"/>
  <c r="J20" i="4" s="1"/>
  <c r="O18" i="4"/>
  <c r="O20" i="4" s="1"/>
  <c r="R18" i="4"/>
  <c r="R20" i="4" s="1"/>
  <c r="Y15" i="4"/>
  <c r="M15" i="4"/>
  <c r="Y9" i="4"/>
  <c r="Y6" i="4"/>
  <c r="Y8" i="4" s="1"/>
  <c r="S9" i="4"/>
  <c r="S6" i="4"/>
  <c r="S8" i="4" s="1"/>
  <c r="M9" i="4"/>
  <c r="M6" i="4"/>
  <c r="M8" i="4" s="1"/>
  <c r="E11" i="4"/>
  <c r="N17" i="4"/>
  <c r="Y16" i="4"/>
  <c r="Y22" i="4"/>
  <c r="Y31" i="4" s="1"/>
  <c r="N26" i="4"/>
  <c r="E28" i="4"/>
  <c r="V28" i="4"/>
  <c r="U28" i="4"/>
  <c r="Y43" i="4"/>
  <c r="Y46" i="4" s="1"/>
  <c r="J28" i="4"/>
  <c r="T11" i="4"/>
  <c r="T19" i="4"/>
  <c r="X28" i="4"/>
  <c r="K28" i="4"/>
  <c r="N19" i="4"/>
  <c r="N11" i="4"/>
  <c r="P28" i="4"/>
  <c r="W28" i="4"/>
  <c r="L28" i="4"/>
  <c r="Y19" i="4"/>
  <c r="N34" i="4"/>
  <c r="R28" i="4"/>
  <c r="O28" i="4"/>
  <c r="Q28" i="4"/>
  <c r="H28"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T44"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M19" i="4" l="1"/>
  <c r="S19" i="4"/>
  <c r="F20" i="4"/>
  <c r="G20" i="4"/>
  <c r="M11" i="4"/>
  <c r="S11" i="4"/>
  <c r="Y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M20" i="4" s="1"/>
  <c r="Y18" i="4"/>
  <c r="Y20" i="4" s="1"/>
  <c r="M17" i="4"/>
  <c r="S18" i="4"/>
  <c r="S20" i="4" s="1"/>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M28" i="4"/>
  <c r="Y28" i="4"/>
  <c r="S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R41" i="4" l="1"/>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<sst xmlns="http://schemas.openxmlformats.org/spreadsheetml/2006/main" count="255" uniqueCount="178">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</sst>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40">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xf numFmtId="17" fontId="0" fillId="5" borderId="1" xfId="0" applyNumberFormat="1" applyFill="1" applyBorder="1" applyAlignment="1">
      <alignment horizontal="left"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zoomScale="130" zoomScaleNormal="130" workbookViewId="0">
      <selection activeCell="B8" sqref="B8"/>
    </sheetView>
  </sheetViews>
  <sheetFormatPr defaultRowHeight="15" x14ac:dyDescent="0.25"/>
  <cols>
    <col min="1" max="1" width="28.7109375" customWidth="1"/>
    <col min="2" max="3" width="36.85546875" customWidth="1"/>
  </cols>
  <sheetData>
    <row r="1" spans="1:3" ht="18.75" x14ac:dyDescent="0.3">
      <c r="A1" s="27" t="s">
        <v>95</v>
      </c>
      <c r="B1" s="27"/>
      <c r="C1" s="27"/>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42</v>
      </c>
      <c r="C6" s="31"/>
    </row>
    <row r="7" spans="1:3" x14ac:dyDescent="0.25">
      <c r="A7" s="6" t="s">
        <v>29</v>
      </c>
      <c r="B7" s="39">
        <v>43891</v>
      </c>
      <c r="C7" s="31"/>
    </row>
    <row r="9" spans="1:3" x14ac:dyDescent="0.25">
      <c r="A9" s="28" t="s">
        <v>131</v>
      </c>
      <c r="B9" s="28"/>
      <c r="C9" s="28"/>
    </row>
    <row r="11" spans="1:3" x14ac:dyDescent="0.25">
      <c r="A11" s="16" t="s">
        <v>37</v>
      </c>
      <c r="B11" s="21" t="s">
        <v>38</v>
      </c>
      <c r="C11" s="21"/>
    </row>
    <row r="12" spans="1:3" x14ac:dyDescent="0.25">
      <c r="A12" s="12" t="s">
        <v>130</v>
      </c>
      <c r="B12" s="22" t="s">
        <v>85</v>
      </c>
      <c r="C12" s="22"/>
    </row>
    <row r="14" spans="1:3" x14ac:dyDescent="0.25">
      <c r="A14" t="s">
        <v>161</v>
      </c>
    </row>
    <row r="16" spans="1:3" x14ac:dyDescent="0.25">
      <c r="A16" s="16" t="s">
        <v>39</v>
      </c>
      <c r="B16" s="21" t="s">
        <v>38</v>
      </c>
      <c r="C16" s="21"/>
    </row>
    <row r="17" spans="1:3" ht="45" x14ac:dyDescent="0.25">
      <c r="A17" s="10" t="s">
        <v>150</v>
      </c>
      <c r="B17" s="23" t="s">
        <v>149</v>
      </c>
      <c r="C17" s="23"/>
    </row>
    <row r="18" spans="1:3" ht="30" x14ac:dyDescent="0.25">
      <c r="A18" s="10" t="s">
        <v>154</v>
      </c>
      <c r="B18" s="23" t="s">
        <v>151</v>
      </c>
      <c r="C18" s="23"/>
    </row>
    <row r="19" spans="1:3" ht="30" x14ac:dyDescent="0.25">
      <c r="A19" s="10" t="s">
        <v>153</v>
      </c>
      <c r="B19" s="23" t="s">
        <v>152</v>
      </c>
      <c r="C19" s="23"/>
    </row>
    <row r="20" spans="1:3" x14ac:dyDescent="0.25">
      <c r="A20" s="10" t="s">
        <v>89</v>
      </c>
      <c r="B20" s="23" t="s">
        <v>155</v>
      </c>
      <c r="C20" s="23"/>
    </row>
    <row r="21" spans="1:3" ht="30" x14ac:dyDescent="0.25">
      <c r="A21" s="10" t="s">
        <v>90</v>
      </c>
      <c r="B21" s="23" t="s">
        <v>160</v>
      </c>
      <c r="C21" s="23"/>
    </row>
    <row r="22" spans="1:3" ht="35.450000000000003" customHeight="1" x14ac:dyDescent="0.25">
      <c r="A22" s="10" t="s">
        <v>91</v>
      </c>
      <c r="B22" s="23" t="s">
        <v>156</v>
      </c>
      <c r="C22" s="23"/>
    </row>
    <row r="23" spans="1:3" ht="30" x14ac:dyDescent="0.25">
      <c r="A23" s="10" t="s">
        <v>92</v>
      </c>
      <c r="B23" s="23" t="s">
        <v>157</v>
      </c>
      <c r="C23" s="23"/>
    </row>
    <row r="24" spans="1:3" ht="30" x14ac:dyDescent="0.25">
      <c r="A24" s="10" t="s">
        <v>159</v>
      </c>
      <c r="B24" s="23" t="s">
        <v>158</v>
      </c>
      <c r="C24" s="23"/>
    </row>
    <row r="25" spans="1:3" ht="30" x14ac:dyDescent="0.25">
      <c r="A25" s="10" t="s">
        <v>25</v>
      </c>
      <c r="B25" s="23" t="s">
        <v>96</v>
      </c>
      <c r="C25" s="23"/>
    </row>
    <row r="26" spans="1:3" ht="30" x14ac:dyDescent="0.25">
      <c r="A26" s="4" t="s">
        <v>34</v>
      </c>
      <c r="B26" s="22" t="s">
        <v>93</v>
      </c>
      <c r="C26" s="22"/>
    </row>
    <row r="27" spans="1:3" x14ac:dyDescent="0.25">
      <c r="A27" s="1"/>
      <c r="B27" s="1"/>
      <c r="C27" s="1"/>
    </row>
    <row r="28" spans="1:3" x14ac:dyDescent="0.25">
      <c r="A28" s="25" t="s">
        <v>162</v>
      </c>
      <c r="B28" s="26"/>
      <c r="C28" s="26"/>
    </row>
    <row r="30" spans="1:3" x14ac:dyDescent="0.25">
      <c r="A30" t="s">
        <v>41</v>
      </c>
    </row>
    <row r="32" spans="1:3" x14ac:dyDescent="0.25">
      <c r="A32" s="16" t="s">
        <v>40</v>
      </c>
      <c r="B32" s="21" t="s">
        <v>38</v>
      </c>
      <c r="C32" s="21"/>
    </row>
    <row r="33" spans="1:3" x14ac:dyDescent="0.25">
      <c r="A33" s="3" t="s">
        <v>1</v>
      </c>
      <c r="B33" s="22" t="s">
        <v>86</v>
      </c>
      <c r="C33" s="22"/>
    </row>
    <row r="34" spans="1:3" x14ac:dyDescent="0.25">
      <c r="A34" s="3" t="s">
        <v>9</v>
      </c>
      <c r="B34" s="22" t="s">
        <v>87</v>
      </c>
      <c r="C34" s="22"/>
    </row>
    <row r="35" spans="1:3" x14ac:dyDescent="0.25">
      <c r="A35" s="3" t="s">
        <v>10</v>
      </c>
      <c r="B35" s="24" t="s">
        <v>88</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F09A9B4-3E20-4ECA-BE7B-F02075C9A4AF}">
          <x14:formula1>
            <xm:f>Lookups!$A$2:$A$44</xm:f>
          </x14:formula1>
          <xm:sqref>B6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zoomScale="96" zoomScaleNormal="96" workbookViewId="0">
      <selection activeCell="E49" sqref="E4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6" t="str">
        <f>Instructions!B6</f>
        <v>Fenland and Peterborough within the North Cambridgeshire and Peterborough Care Partnership</v>
      </c>
      <c r="C1" s="26"/>
      <c r="L1" t="s">
        <v>111</v>
      </c>
    </row>
    <row r="2" spans="1:25" x14ac:dyDescent="0.25">
      <c r="A2" s="6" t="s">
        <v>29</v>
      </c>
      <c r="B2" s="26">
        <f>Instructions!B7</f>
        <v>43891</v>
      </c>
      <c r="C2" s="26"/>
    </row>
    <row r="4" spans="1:25" x14ac:dyDescent="0.25">
      <c r="A4" s="34" t="s">
        <v>18</v>
      </c>
      <c r="B4" s="34" t="s">
        <v>20</v>
      </c>
      <c r="C4" s="34" t="s">
        <v>19</v>
      </c>
      <c r="D4" s="34" t="s">
        <v>0</v>
      </c>
      <c r="E4" s="34" t="s">
        <v>1</v>
      </c>
      <c r="F4" s="34"/>
      <c r="G4" s="34"/>
      <c r="H4" s="34"/>
      <c r="I4" s="34"/>
      <c r="J4" s="34"/>
      <c r="K4" s="34"/>
      <c r="L4" s="34"/>
      <c r="M4" s="34"/>
      <c r="N4" s="34" t="s">
        <v>9</v>
      </c>
      <c r="O4" s="34"/>
      <c r="P4" s="34"/>
      <c r="Q4" s="34"/>
      <c r="R4" s="34"/>
      <c r="S4" s="34"/>
      <c r="T4" s="34" t="s">
        <v>10</v>
      </c>
      <c r="U4" s="34"/>
      <c r="V4" s="34"/>
      <c r="W4" s="34"/>
      <c r="X4" s="34"/>
      <c r="Y4" s="34"/>
    </row>
    <row r="5" spans="1:25" x14ac:dyDescent="0.25">
      <c r="A5" s="34" t="s">
        <v>18</v>
      </c>
      <c r="B5" s="34" t="s">
        <v>20</v>
      </c>
      <c r="C5" s="34" t="s">
        <v>19</v>
      </c>
      <c r="D5" s="34"/>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3" t="s">
        <v>21</v>
      </c>
      <c r="B6" s="33" t="s">
        <v>26</v>
      </c>
      <c r="C6" s="10" t="s">
        <v>112</v>
      </c>
      <c r="D6" s="8">
        <f ca="1">RANDBETWEEN(D7*0.2,D7*0.5)</f>
        <v>248</v>
      </c>
      <c r="E6" s="8">
        <f ca="1">FLOOR($D6/9,1)</f>
        <v>27</v>
      </c>
      <c r="F6" s="8">
        <f t="shared" ref="F6:L6" ca="1" si="0">FLOOR($D6/9,1)</f>
        <v>27</v>
      </c>
      <c r="G6" s="8">
        <f t="shared" ca="1" si="0"/>
        <v>27</v>
      </c>
      <c r="H6" s="8">
        <f t="shared" ca="1" si="0"/>
        <v>27</v>
      </c>
      <c r="I6" s="8">
        <f t="shared" ca="1" si="0"/>
        <v>27</v>
      </c>
      <c r="J6" s="8">
        <f t="shared" ca="1" si="0"/>
        <v>27</v>
      </c>
      <c r="K6" s="8">
        <f t="shared" ca="1" si="0"/>
        <v>27</v>
      </c>
      <c r="L6" s="8">
        <f t="shared" ca="1" si="0"/>
        <v>27</v>
      </c>
      <c r="M6" s="8">
        <f ca="1">$D6-SUM(E6:L6)</f>
        <v>32</v>
      </c>
      <c r="N6" s="8">
        <f ca="1">FLOOR($D6/6,1)</f>
        <v>41</v>
      </c>
      <c r="O6" s="8">
        <f t="shared" ref="O6:R6" ca="1" si="1">FLOOR($D6/6,1)</f>
        <v>41</v>
      </c>
      <c r="P6" s="8">
        <f t="shared" ca="1" si="1"/>
        <v>41</v>
      </c>
      <c r="Q6" s="8">
        <f t="shared" ca="1" si="1"/>
        <v>41</v>
      </c>
      <c r="R6" s="8">
        <f t="shared" ca="1" si="1"/>
        <v>41</v>
      </c>
      <c r="S6" s="8">
        <f ca="1">$D6-SUM(N6:R6)</f>
        <v>43</v>
      </c>
      <c r="T6" s="8">
        <f ca="1">FLOOR($D6/6, 1)</f>
        <v>41</v>
      </c>
      <c r="U6" s="8">
        <f t="shared" ref="U6:X6" ca="1" si="2">FLOOR($D6/6, 1)</f>
        <v>41</v>
      </c>
      <c r="V6" s="8">
        <f t="shared" ca="1" si="2"/>
        <v>41</v>
      </c>
      <c r="W6" s="8">
        <f t="shared" ca="1" si="2"/>
        <v>41</v>
      </c>
      <c r="X6" s="8">
        <f t="shared" ca="1" si="2"/>
        <v>41</v>
      </c>
      <c r="Y6" s="8">
        <f ca="1">$D6-SUM(T6:X6)</f>
        <v>43</v>
      </c>
    </row>
    <row r="7" spans="1:25" x14ac:dyDescent="0.25">
      <c r="A7" s="33"/>
      <c r="B7" s="33"/>
      <c r="C7" s="10" t="s">
        <v>25</v>
      </c>
      <c r="D7" s="8">
        <f ca="1">RANDBETWEEN(500,1500)</f>
        <v>665</v>
      </c>
      <c r="E7" s="8">
        <f ca="1">FLOOR($D$7/9,1)</f>
        <v>73</v>
      </c>
      <c r="F7" s="8">
        <f t="shared" ref="F7:L7" ca="1" si="3">FLOOR($D$7/9,1)</f>
        <v>73</v>
      </c>
      <c r="G7" s="8">
        <f t="shared" ca="1" si="3"/>
        <v>73</v>
      </c>
      <c r="H7" s="8">
        <f t="shared" ca="1" si="3"/>
        <v>73</v>
      </c>
      <c r="I7" s="8">
        <f t="shared" ca="1" si="3"/>
        <v>73</v>
      </c>
      <c r="J7" s="8">
        <f t="shared" ca="1" si="3"/>
        <v>73</v>
      </c>
      <c r="K7" s="8">
        <f t="shared" ca="1" si="3"/>
        <v>73</v>
      </c>
      <c r="L7" s="8">
        <f t="shared" ca="1" si="3"/>
        <v>73</v>
      </c>
      <c r="M7" s="8">
        <f ca="1">$D7-SUM(E7:L7)</f>
        <v>81</v>
      </c>
      <c r="N7" s="8">
        <f ca="1">FLOOR($D$7/6, 1)</f>
        <v>110</v>
      </c>
      <c r="O7" s="8">
        <f t="shared" ref="O7:R7" ca="1" si="4">FLOOR($D$7/6, 1)</f>
        <v>110</v>
      </c>
      <c r="P7" s="8">
        <f t="shared" ca="1" si="4"/>
        <v>110</v>
      </c>
      <c r="Q7" s="8">
        <f t="shared" ca="1" si="4"/>
        <v>110</v>
      </c>
      <c r="R7" s="8">
        <f t="shared" ca="1" si="4"/>
        <v>110</v>
      </c>
      <c r="S7" s="8">
        <f ca="1">$D7-SUM(N7:R7)</f>
        <v>115</v>
      </c>
      <c r="T7" s="8">
        <f ca="1">FLOOR($D$7/6, 1)</f>
        <v>110</v>
      </c>
      <c r="U7" s="8">
        <f t="shared" ref="U7:X7" ca="1" si="5">FLOOR($D$7/6, 1)</f>
        <v>110</v>
      </c>
      <c r="V7" s="8">
        <f t="shared" ca="1" si="5"/>
        <v>110</v>
      </c>
      <c r="W7" s="8">
        <f t="shared" ca="1" si="5"/>
        <v>110</v>
      </c>
      <c r="X7" s="8">
        <f t="shared" ca="1" si="5"/>
        <v>110</v>
      </c>
      <c r="Y7" s="8">
        <f ca="1">$D7-SUM(T7:X7)</f>
        <v>115</v>
      </c>
    </row>
    <row r="8" spans="1:25" ht="30" x14ac:dyDescent="0.25">
      <c r="A8" s="33"/>
      <c r="B8" s="33"/>
      <c r="C8" s="17" t="s">
        <v>110</v>
      </c>
      <c r="D8" s="5">
        <f t="shared" ref="D8:Y8" ca="1" si="6">IFERROR(D6/D7*1000,0)</f>
        <v>372.93233082706769</v>
      </c>
      <c r="E8" s="5">
        <f t="shared" ca="1" si="6"/>
        <v>369.86301369863014</v>
      </c>
      <c r="F8" s="5">
        <f t="shared" ca="1" si="6"/>
        <v>369.86301369863014</v>
      </c>
      <c r="G8" s="5">
        <f t="shared" ca="1" si="6"/>
        <v>369.86301369863014</v>
      </c>
      <c r="H8" s="5">
        <f t="shared" ca="1" si="6"/>
        <v>369.86301369863014</v>
      </c>
      <c r="I8" s="5">
        <f t="shared" ca="1" si="6"/>
        <v>369.86301369863014</v>
      </c>
      <c r="J8" s="5">
        <f t="shared" ca="1" si="6"/>
        <v>369.86301369863014</v>
      </c>
      <c r="K8" s="5">
        <f t="shared" ca="1" si="6"/>
        <v>369.86301369863014</v>
      </c>
      <c r="L8" s="5">
        <f t="shared" ca="1" si="6"/>
        <v>369.86301369863014</v>
      </c>
      <c r="M8" s="5">
        <f t="shared" ca="1" si="6"/>
        <v>395.06172839506172</v>
      </c>
      <c r="N8" s="5">
        <f t="shared" ca="1" si="6"/>
        <v>372.72727272727275</v>
      </c>
      <c r="O8" s="5">
        <f t="shared" ca="1" si="6"/>
        <v>372.72727272727275</v>
      </c>
      <c r="P8" s="5">
        <f t="shared" ca="1" si="6"/>
        <v>372.72727272727275</v>
      </c>
      <c r="Q8" s="5">
        <f t="shared" ca="1" si="6"/>
        <v>372.72727272727275</v>
      </c>
      <c r="R8" s="5">
        <f t="shared" ca="1" si="6"/>
        <v>372.72727272727275</v>
      </c>
      <c r="S8" s="5">
        <f t="shared" ca="1" si="6"/>
        <v>373.91304347826087</v>
      </c>
      <c r="T8" s="5">
        <f t="shared" ca="1" si="6"/>
        <v>372.72727272727275</v>
      </c>
      <c r="U8" s="5">
        <f t="shared" ca="1" si="6"/>
        <v>372.72727272727275</v>
      </c>
      <c r="V8" s="5">
        <f t="shared" ca="1" si="6"/>
        <v>372.72727272727275</v>
      </c>
      <c r="W8" s="5">
        <f t="shared" ca="1" si="6"/>
        <v>372.72727272727275</v>
      </c>
      <c r="X8" s="5">
        <f t="shared" ca="1" si="6"/>
        <v>372.72727272727275</v>
      </c>
      <c r="Y8" s="5">
        <f t="shared" ca="1" si="6"/>
        <v>373.91304347826087</v>
      </c>
    </row>
    <row r="9" spans="1:25" ht="30" x14ac:dyDescent="0.25">
      <c r="A9" s="33" t="s">
        <v>21</v>
      </c>
      <c r="B9" s="33" t="s">
        <v>26</v>
      </c>
      <c r="C9" s="10" t="s">
        <v>115</v>
      </c>
      <c r="D9" s="8">
        <f ca="1">RANDBETWEEN(D10*0.8,D10*0.9)</f>
        <v>554</v>
      </c>
      <c r="E9" s="8">
        <f ca="1">FLOOR($D9/9,1)</f>
        <v>61</v>
      </c>
      <c r="F9" s="8">
        <f t="shared" ref="F9:L9" ca="1" si="7">FLOOR($D9/9,1)</f>
        <v>61</v>
      </c>
      <c r="G9" s="8">
        <f t="shared" ca="1" si="7"/>
        <v>61</v>
      </c>
      <c r="H9" s="8">
        <f t="shared" ca="1" si="7"/>
        <v>61</v>
      </c>
      <c r="I9" s="8">
        <f t="shared" ca="1" si="7"/>
        <v>61</v>
      </c>
      <c r="J9" s="8">
        <f t="shared" ca="1" si="7"/>
        <v>61</v>
      </c>
      <c r="K9" s="8">
        <f t="shared" ca="1" si="7"/>
        <v>61</v>
      </c>
      <c r="L9" s="8">
        <f t="shared" ca="1" si="7"/>
        <v>61</v>
      </c>
      <c r="M9" s="8">
        <f ca="1">$D9-SUM(E9:L9)</f>
        <v>66</v>
      </c>
      <c r="N9" s="8">
        <f t="shared" ref="N9:R9" ca="1" si="8">FLOOR($D9/6,1)</f>
        <v>92</v>
      </c>
      <c r="O9" s="8">
        <f t="shared" ca="1" si="8"/>
        <v>92</v>
      </c>
      <c r="P9" s="8">
        <f t="shared" ca="1" si="8"/>
        <v>92</v>
      </c>
      <c r="Q9" s="8">
        <f t="shared" ca="1" si="8"/>
        <v>92</v>
      </c>
      <c r="R9" s="8">
        <f t="shared" ca="1" si="8"/>
        <v>92</v>
      </c>
      <c r="S9" s="8">
        <f ca="1">$D9-SUM(N9:R9)</f>
        <v>94</v>
      </c>
      <c r="T9" s="8">
        <f t="shared" ref="T9:X9" ca="1" si="9">FLOOR($D9/6, 1)</f>
        <v>92</v>
      </c>
      <c r="U9" s="8">
        <f t="shared" ca="1" si="9"/>
        <v>92</v>
      </c>
      <c r="V9" s="8">
        <f t="shared" ca="1" si="9"/>
        <v>92</v>
      </c>
      <c r="W9" s="8">
        <f t="shared" ca="1" si="9"/>
        <v>92</v>
      </c>
      <c r="X9" s="8">
        <f t="shared" ca="1" si="9"/>
        <v>92</v>
      </c>
      <c r="Y9" s="8">
        <f ca="1">$D9-SUM(T9:X9)</f>
        <v>94</v>
      </c>
    </row>
    <row r="10" spans="1:25" x14ac:dyDescent="0.25">
      <c r="A10" s="33"/>
      <c r="B10" s="33"/>
      <c r="C10" s="10" t="s">
        <v>25</v>
      </c>
      <c r="D10" s="8">
        <f ca="1">D7</f>
        <v>665</v>
      </c>
      <c r="E10" s="8">
        <f t="shared" ref="E10:Y10" ca="1" si="10">E7</f>
        <v>73</v>
      </c>
      <c r="F10" s="8">
        <f t="shared" ca="1" si="10"/>
        <v>73</v>
      </c>
      <c r="G10" s="8">
        <f t="shared" ca="1" si="10"/>
        <v>73</v>
      </c>
      <c r="H10" s="8">
        <f t="shared" ca="1" si="10"/>
        <v>73</v>
      </c>
      <c r="I10" s="8">
        <f t="shared" ca="1" si="10"/>
        <v>73</v>
      </c>
      <c r="J10" s="8">
        <f t="shared" ca="1" si="10"/>
        <v>73</v>
      </c>
      <c r="K10" s="8">
        <f t="shared" ca="1" si="10"/>
        <v>73</v>
      </c>
      <c r="L10" s="8">
        <f t="shared" ca="1" si="10"/>
        <v>73</v>
      </c>
      <c r="M10" s="8">
        <f t="shared" ca="1" si="10"/>
        <v>81</v>
      </c>
      <c r="N10" s="8">
        <f t="shared" ca="1" si="10"/>
        <v>110</v>
      </c>
      <c r="O10" s="8">
        <f t="shared" ca="1" si="10"/>
        <v>110</v>
      </c>
      <c r="P10" s="8">
        <f t="shared" ca="1" si="10"/>
        <v>110</v>
      </c>
      <c r="Q10" s="8">
        <f t="shared" ca="1" si="10"/>
        <v>110</v>
      </c>
      <c r="R10" s="8">
        <f t="shared" ca="1" si="10"/>
        <v>110</v>
      </c>
      <c r="S10" s="8">
        <f t="shared" ca="1" si="10"/>
        <v>115</v>
      </c>
      <c r="T10" s="8">
        <f t="shared" ca="1" si="10"/>
        <v>110</v>
      </c>
      <c r="U10" s="8">
        <f t="shared" ca="1" si="10"/>
        <v>110</v>
      </c>
      <c r="V10" s="8">
        <f t="shared" ca="1" si="10"/>
        <v>110</v>
      </c>
      <c r="W10" s="8">
        <f t="shared" ca="1" si="10"/>
        <v>110</v>
      </c>
      <c r="X10" s="8">
        <f t="shared" ca="1" si="10"/>
        <v>110</v>
      </c>
      <c r="Y10" s="8">
        <f t="shared" ca="1" si="10"/>
        <v>115</v>
      </c>
    </row>
    <row r="11" spans="1:25" ht="30" x14ac:dyDescent="0.25">
      <c r="A11" s="33"/>
      <c r="B11" s="33"/>
      <c r="C11" s="17" t="s">
        <v>116</v>
      </c>
      <c r="D11" s="5">
        <f t="shared" ref="D11:Y11" ca="1" si="11">IFERROR(D9/D10*1000,0)</f>
        <v>833.08270676691734</v>
      </c>
      <c r="E11" s="5">
        <f t="shared" ca="1" si="11"/>
        <v>835.61643835616439</v>
      </c>
      <c r="F11" s="5">
        <f t="shared" ca="1" si="11"/>
        <v>835.61643835616439</v>
      </c>
      <c r="G11" s="5">
        <f t="shared" ca="1" si="11"/>
        <v>835.61643835616439</v>
      </c>
      <c r="H11" s="5">
        <f t="shared" ca="1" si="11"/>
        <v>835.61643835616439</v>
      </c>
      <c r="I11" s="5">
        <f t="shared" ca="1" si="11"/>
        <v>835.61643835616439</v>
      </c>
      <c r="J11" s="5">
        <f t="shared" ca="1" si="11"/>
        <v>835.61643835616439</v>
      </c>
      <c r="K11" s="5">
        <f t="shared" ca="1" si="11"/>
        <v>835.61643835616439</v>
      </c>
      <c r="L11" s="5">
        <f t="shared" ca="1" si="11"/>
        <v>835.61643835616439</v>
      </c>
      <c r="M11" s="5">
        <f t="shared" ca="1" si="11"/>
        <v>814.81481481481478</v>
      </c>
      <c r="N11" s="5">
        <f t="shared" ca="1" si="11"/>
        <v>836.36363636363626</v>
      </c>
      <c r="O11" s="5">
        <f t="shared" ca="1" si="11"/>
        <v>836.36363636363626</v>
      </c>
      <c r="P11" s="5">
        <f t="shared" ca="1" si="11"/>
        <v>836.36363636363626</v>
      </c>
      <c r="Q11" s="5">
        <f t="shared" ca="1" si="11"/>
        <v>836.36363636363626</v>
      </c>
      <c r="R11" s="5">
        <f t="shared" ca="1" si="11"/>
        <v>836.36363636363626</v>
      </c>
      <c r="S11" s="5">
        <f t="shared" ca="1" si="11"/>
        <v>817.39130434782612</v>
      </c>
      <c r="T11" s="5">
        <f t="shared" ca="1" si="11"/>
        <v>836.36363636363626</v>
      </c>
      <c r="U11" s="5">
        <f t="shared" ca="1" si="11"/>
        <v>836.36363636363626</v>
      </c>
      <c r="V11" s="5">
        <f t="shared" ca="1" si="11"/>
        <v>836.36363636363626</v>
      </c>
      <c r="W11" s="5">
        <f t="shared" ca="1" si="11"/>
        <v>836.36363636363626</v>
      </c>
      <c r="X11" s="5">
        <f t="shared" ca="1" si="11"/>
        <v>836.36363636363626</v>
      </c>
      <c r="Y11" s="5">
        <f t="shared" ca="1" si="11"/>
        <v>817.39130434782612</v>
      </c>
    </row>
    <row r="12" spans="1:25" ht="30" x14ac:dyDescent="0.25">
      <c r="A12" s="33" t="s">
        <v>21</v>
      </c>
      <c r="B12" s="33" t="s">
        <v>26</v>
      </c>
      <c r="C12" s="10" t="s">
        <v>113</v>
      </c>
      <c r="D12" s="8">
        <f ca="1">RANDBETWEEN(D13*0.1,D13*0.3)</f>
        <v>91</v>
      </c>
      <c r="E12" s="8">
        <f ca="1">FLOOR($D12/9,1)</f>
        <v>10</v>
      </c>
      <c r="F12" s="8">
        <f t="shared" ref="F12:L12" ca="1" si="12">FLOOR($D12/9,1)</f>
        <v>10</v>
      </c>
      <c r="G12" s="8">
        <f t="shared" ca="1" si="12"/>
        <v>10</v>
      </c>
      <c r="H12" s="8">
        <f t="shared" ca="1" si="12"/>
        <v>10</v>
      </c>
      <c r="I12" s="8">
        <f t="shared" ca="1" si="12"/>
        <v>10</v>
      </c>
      <c r="J12" s="8">
        <f t="shared" ca="1" si="12"/>
        <v>10</v>
      </c>
      <c r="K12" s="8">
        <f t="shared" ca="1" si="12"/>
        <v>10</v>
      </c>
      <c r="L12" s="8">
        <f t="shared" ca="1" si="12"/>
        <v>10</v>
      </c>
      <c r="M12" s="8">
        <f ca="1">$D12-SUM(E12:L12)</f>
        <v>11</v>
      </c>
      <c r="N12" s="8">
        <f t="shared" ref="N12:R12" ca="1" si="13">FLOOR($D12/6,1)</f>
        <v>15</v>
      </c>
      <c r="O12" s="8">
        <f t="shared" ca="1" si="13"/>
        <v>15</v>
      </c>
      <c r="P12" s="8">
        <f t="shared" ca="1" si="13"/>
        <v>15</v>
      </c>
      <c r="Q12" s="8">
        <f t="shared" ca="1" si="13"/>
        <v>15</v>
      </c>
      <c r="R12" s="8">
        <f t="shared" ca="1" si="13"/>
        <v>15</v>
      </c>
      <c r="S12" s="8">
        <f ca="1">$D12-SUM(N12:R12)</f>
        <v>16</v>
      </c>
      <c r="T12" s="8">
        <f t="shared" ref="T12:X12" ca="1" si="14">FLOOR($D12/6, 1)</f>
        <v>15</v>
      </c>
      <c r="U12" s="8">
        <f t="shared" ca="1" si="14"/>
        <v>15</v>
      </c>
      <c r="V12" s="8">
        <f t="shared" ca="1" si="14"/>
        <v>15</v>
      </c>
      <c r="W12" s="8">
        <f t="shared" ca="1" si="14"/>
        <v>15</v>
      </c>
      <c r="X12" s="8">
        <f t="shared" ca="1" si="14"/>
        <v>15</v>
      </c>
      <c r="Y12" s="8">
        <f ca="1">$D12-SUM(T12:X12)</f>
        <v>16</v>
      </c>
    </row>
    <row r="13" spans="1:25" x14ac:dyDescent="0.25">
      <c r="A13" s="33"/>
      <c r="B13" s="33"/>
      <c r="C13" s="10" t="s">
        <v>25</v>
      </c>
      <c r="D13" s="8">
        <f ca="1">D10</f>
        <v>665</v>
      </c>
      <c r="E13" s="8">
        <f t="shared" ref="E13:Y13" ca="1" si="15">E10</f>
        <v>73</v>
      </c>
      <c r="F13" s="8">
        <f t="shared" ca="1" si="15"/>
        <v>73</v>
      </c>
      <c r="G13" s="8">
        <f t="shared" ca="1" si="15"/>
        <v>73</v>
      </c>
      <c r="H13" s="8">
        <f t="shared" ca="1" si="15"/>
        <v>73</v>
      </c>
      <c r="I13" s="8">
        <f t="shared" ca="1" si="15"/>
        <v>73</v>
      </c>
      <c r="J13" s="8">
        <f t="shared" ca="1" si="15"/>
        <v>73</v>
      </c>
      <c r="K13" s="8">
        <f t="shared" ca="1" si="15"/>
        <v>73</v>
      </c>
      <c r="L13" s="8">
        <f t="shared" ca="1" si="15"/>
        <v>73</v>
      </c>
      <c r="M13" s="8">
        <f t="shared" ca="1" si="15"/>
        <v>81</v>
      </c>
      <c r="N13" s="8">
        <f t="shared" ca="1" si="15"/>
        <v>110</v>
      </c>
      <c r="O13" s="8">
        <f t="shared" ca="1" si="15"/>
        <v>110</v>
      </c>
      <c r="P13" s="8">
        <f t="shared" ca="1" si="15"/>
        <v>110</v>
      </c>
      <c r="Q13" s="8">
        <f t="shared" ca="1" si="15"/>
        <v>110</v>
      </c>
      <c r="R13" s="8">
        <f t="shared" ca="1" si="15"/>
        <v>110</v>
      </c>
      <c r="S13" s="8">
        <f t="shared" ca="1" si="15"/>
        <v>115</v>
      </c>
      <c r="T13" s="8">
        <f t="shared" ca="1" si="15"/>
        <v>110</v>
      </c>
      <c r="U13" s="8">
        <f t="shared" ca="1" si="15"/>
        <v>110</v>
      </c>
      <c r="V13" s="8">
        <f t="shared" ca="1" si="15"/>
        <v>110</v>
      </c>
      <c r="W13" s="8">
        <f t="shared" ca="1" si="15"/>
        <v>110</v>
      </c>
      <c r="X13" s="8">
        <f t="shared" ca="1" si="15"/>
        <v>110</v>
      </c>
      <c r="Y13" s="8">
        <f t="shared" ca="1" si="15"/>
        <v>115</v>
      </c>
    </row>
    <row r="14" spans="1:25" ht="30" x14ac:dyDescent="0.25">
      <c r="A14" s="33"/>
      <c r="B14" s="33"/>
      <c r="C14" s="17" t="s">
        <v>114</v>
      </c>
      <c r="D14" s="5">
        <f t="shared" ref="D14:Y14" ca="1" si="16">IFERROR(D12/D13*1000,0)</f>
        <v>136.84210526315789</v>
      </c>
      <c r="E14" s="5">
        <f t="shared" ca="1" si="16"/>
        <v>136.98630136986301</v>
      </c>
      <c r="F14" s="5">
        <f t="shared" ca="1" si="16"/>
        <v>136.98630136986301</v>
      </c>
      <c r="G14" s="5">
        <f t="shared" ca="1" si="16"/>
        <v>136.98630136986301</v>
      </c>
      <c r="H14" s="5">
        <f t="shared" ca="1" si="16"/>
        <v>136.98630136986301</v>
      </c>
      <c r="I14" s="5">
        <f t="shared" ca="1" si="16"/>
        <v>136.98630136986301</v>
      </c>
      <c r="J14" s="5">
        <f t="shared" ca="1" si="16"/>
        <v>136.98630136986301</v>
      </c>
      <c r="K14" s="5">
        <f t="shared" ca="1" si="16"/>
        <v>136.98630136986301</v>
      </c>
      <c r="L14" s="5">
        <f t="shared" ca="1" si="16"/>
        <v>136.98630136986301</v>
      </c>
      <c r="M14" s="5">
        <f t="shared" ca="1" si="16"/>
        <v>135.80246913580245</v>
      </c>
      <c r="N14" s="5">
        <f t="shared" ca="1" si="16"/>
        <v>136.36363636363635</v>
      </c>
      <c r="O14" s="5">
        <f t="shared" ca="1" si="16"/>
        <v>136.36363636363635</v>
      </c>
      <c r="P14" s="5">
        <f t="shared" ca="1" si="16"/>
        <v>136.36363636363635</v>
      </c>
      <c r="Q14" s="5">
        <f t="shared" ca="1" si="16"/>
        <v>136.36363636363635</v>
      </c>
      <c r="R14" s="5">
        <f t="shared" ca="1" si="16"/>
        <v>136.36363636363635</v>
      </c>
      <c r="S14" s="5">
        <f t="shared" ca="1" si="16"/>
        <v>139.13043478260869</v>
      </c>
      <c r="T14" s="5">
        <f t="shared" ca="1" si="16"/>
        <v>136.36363636363635</v>
      </c>
      <c r="U14" s="5">
        <f t="shared" ca="1" si="16"/>
        <v>136.36363636363635</v>
      </c>
      <c r="V14" s="5">
        <f t="shared" ca="1" si="16"/>
        <v>136.36363636363635</v>
      </c>
      <c r="W14" s="5">
        <f t="shared" ca="1" si="16"/>
        <v>136.36363636363635</v>
      </c>
      <c r="X14" s="5">
        <f t="shared" ca="1" si="16"/>
        <v>136.36363636363635</v>
      </c>
      <c r="Y14" s="5">
        <f t="shared" ca="1" si="16"/>
        <v>139.13043478260869</v>
      </c>
    </row>
    <row r="15" spans="1:25" ht="30" x14ac:dyDescent="0.25">
      <c r="A15" s="33" t="s">
        <v>22</v>
      </c>
      <c r="B15" s="33" t="s">
        <v>26</v>
      </c>
      <c r="C15" s="10" t="s">
        <v>118</v>
      </c>
      <c r="D15" s="8">
        <f ca="1">RANDBETWEEN(D16*0.05,D16*0.1)</f>
        <v>48</v>
      </c>
      <c r="E15" s="8">
        <f ca="1">FLOOR($D15/9,1)</f>
        <v>5</v>
      </c>
      <c r="F15" s="8">
        <f t="shared" ref="F15:L15" ca="1" si="17">FLOOR($D15/9,1)</f>
        <v>5</v>
      </c>
      <c r="G15" s="8">
        <f t="shared" ca="1" si="17"/>
        <v>5</v>
      </c>
      <c r="H15" s="8">
        <f t="shared" ca="1" si="17"/>
        <v>5</v>
      </c>
      <c r="I15" s="8">
        <f t="shared" ca="1" si="17"/>
        <v>5</v>
      </c>
      <c r="J15" s="8">
        <f t="shared" ca="1" si="17"/>
        <v>5</v>
      </c>
      <c r="K15" s="8">
        <f t="shared" ca="1" si="17"/>
        <v>5</v>
      </c>
      <c r="L15" s="8">
        <f t="shared" ca="1" si="17"/>
        <v>5</v>
      </c>
      <c r="M15" s="8">
        <f ca="1">$D15-SUM(E15:L15)</f>
        <v>8</v>
      </c>
      <c r="N15" s="8">
        <f t="shared" ref="N15:R15" ca="1" si="18">FLOOR($D15/6,1)</f>
        <v>8</v>
      </c>
      <c r="O15" s="8">
        <f t="shared" ca="1" si="18"/>
        <v>8</v>
      </c>
      <c r="P15" s="8">
        <f t="shared" ca="1" si="18"/>
        <v>8</v>
      </c>
      <c r="Q15" s="8">
        <f t="shared" ca="1" si="18"/>
        <v>8</v>
      </c>
      <c r="R15" s="8">
        <f t="shared" ca="1" si="18"/>
        <v>8</v>
      </c>
      <c r="S15" s="8">
        <f ca="1">$D15-SUM(N15:R15)</f>
        <v>8</v>
      </c>
      <c r="T15" s="8">
        <f t="shared" ref="T15:X15" ca="1" si="19">FLOOR($D15/6, 1)</f>
        <v>8</v>
      </c>
      <c r="U15" s="8">
        <f t="shared" ca="1" si="19"/>
        <v>8</v>
      </c>
      <c r="V15" s="8">
        <f t="shared" ca="1" si="19"/>
        <v>8</v>
      </c>
      <c r="W15" s="8">
        <f t="shared" ca="1" si="19"/>
        <v>8</v>
      </c>
      <c r="X15" s="8">
        <f t="shared" ca="1" si="19"/>
        <v>8</v>
      </c>
      <c r="Y15" s="8">
        <f ca="1">$D15-SUM(T15:X15)</f>
        <v>8</v>
      </c>
    </row>
    <row r="16" spans="1:25" x14ac:dyDescent="0.25">
      <c r="A16" s="33"/>
      <c r="B16" s="33"/>
      <c r="C16" s="10" t="s">
        <v>25</v>
      </c>
      <c r="D16" s="3">
        <f t="shared" ref="D16:Y16" ca="1" si="20">D7</f>
        <v>665</v>
      </c>
      <c r="E16" s="3">
        <f t="shared" ca="1" si="20"/>
        <v>73</v>
      </c>
      <c r="F16" s="3">
        <f t="shared" ca="1" si="20"/>
        <v>73</v>
      </c>
      <c r="G16" s="3">
        <f t="shared" ca="1" si="20"/>
        <v>73</v>
      </c>
      <c r="H16" s="3">
        <f t="shared" ca="1" si="20"/>
        <v>73</v>
      </c>
      <c r="I16" s="3">
        <f t="shared" ca="1" si="20"/>
        <v>73</v>
      </c>
      <c r="J16" s="3">
        <f t="shared" ca="1" si="20"/>
        <v>73</v>
      </c>
      <c r="K16" s="3">
        <f t="shared" ca="1" si="20"/>
        <v>73</v>
      </c>
      <c r="L16" s="3">
        <f t="shared" ca="1" si="20"/>
        <v>73</v>
      </c>
      <c r="M16" s="3">
        <f t="shared" ca="1" si="20"/>
        <v>81</v>
      </c>
      <c r="N16" s="3">
        <f t="shared" ca="1" si="20"/>
        <v>110</v>
      </c>
      <c r="O16" s="3">
        <f t="shared" ca="1" si="20"/>
        <v>110</v>
      </c>
      <c r="P16" s="3">
        <f t="shared" ca="1" si="20"/>
        <v>110</v>
      </c>
      <c r="Q16" s="3">
        <f t="shared" ca="1" si="20"/>
        <v>110</v>
      </c>
      <c r="R16" s="3">
        <f t="shared" ca="1" si="20"/>
        <v>110</v>
      </c>
      <c r="S16" s="3">
        <f t="shared" ca="1" si="20"/>
        <v>115</v>
      </c>
      <c r="T16" s="3">
        <f t="shared" ca="1" si="20"/>
        <v>110</v>
      </c>
      <c r="U16" s="3">
        <f t="shared" ca="1" si="20"/>
        <v>110</v>
      </c>
      <c r="V16" s="3">
        <f t="shared" ca="1" si="20"/>
        <v>110</v>
      </c>
      <c r="W16" s="3">
        <f t="shared" ca="1" si="20"/>
        <v>110</v>
      </c>
      <c r="X16" s="3">
        <f t="shared" ca="1" si="20"/>
        <v>110</v>
      </c>
      <c r="Y16" s="3">
        <f t="shared" ca="1" si="20"/>
        <v>115</v>
      </c>
    </row>
    <row r="17" spans="1:25" ht="45" x14ac:dyDescent="0.25">
      <c r="A17" s="33"/>
      <c r="B17" s="33"/>
      <c r="C17" s="17" t="s">
        <v>117</v>
      </c>
      <c r="D17" s="5">
        <f t="shared" ref="D17:Y17" ca="1" si="21">IFERROR(D15/D16*1000,0)</f>
        <v>72.180451127819552</v>
      </c>
      <c r="E17" s="5">
        <f t="shared" ca="1" si="21"/>
        <v>68.493150684931507</v>
      </c>
      <c r="F17" s="5">
        <f t="shared" ca="1" si="21"/>
        <v>68.493150684931507</v>
      </c>
      <c r="G17" s="5">
        <f t="shared" ca="1" si="21"/>
        <v>68.493150684931507</v>
      </c>
      <c r="H17" s="5">
        <f t="shared" ca="1" si="21"/>
        <v>68.493150684931507</v>
      </c>
      <c r="I17" s="5">
        <f t="shared" ca="1" si="21"/>
        <v>68.493150684931507</v>
      </c>
      <c r="J17" s="5">
        <f t="shared" ca="1" si="21"/>
        <v>68.493150684931507</v>
      </c>
      <c r="K17" s="5">
        <f t="shared" ca="1" si="21"/>
        <v>68.493150684931507</v>
      </c>
      <c r="L17" s="5">
        <f t="shared" ca="1" si="21"/>
        <v>68.493150684931507</v>
      </c>
      <c r="M17" s="5">
        <f t="shared" ca="1" si="21"/>
        <v>98.76543209876543</v>
      </c>
      <c r="N17" s="5">
        <f t="shared" ca="1" si="21"/>
        <v>72.72727272727272</v>
      </c>
      <c r="O17" s="5">
        <f t="shared" ca="1" si="21"/>
        <v>72.72727272727272</v>
      </c>
      <c r="P17" s="5">
        <f t="shared" ca="1" si="21"/>
        <v>72.72727272727272</v>
      </c>
      <c r="Q17" s="5">
        <f t="shared" ca="1" si="21"/>
        <v>72.72727272727272</v>
      </c>
      <c r="R17" s="5">
        <f t="shared" ca="1" si="21"/>
        <v>72.72727272727272</v>
      </c>
      <c r="S17" s="5">
        <f t="shared" ca="1" si="21"/>
        <v>69.565217391304344</v>
      </c>
      <c r="T17" s="5">
        <f t="shared" ca="1" si="21"/>
        <v>72.72727272727272</v>
      </c>
      <c r="U17" s="5">
        <f t="shared" ca="1" si="21"/>
        <v>72.72727272727272</v>
      </c>
      <c r="V17" s="5">
        <f t="shared" ca="1" si="21"/>
        <v>72.72727272727272</v>
      </c>
      <c r="W17" s="5">
        <f t="shared" ca="1" si="21"/>
        <v>72.72727272727272</v>
      </c>
      <c r="X17" s="5">
        <f t="shared" ca="1" si="21"/>
        <v>72.72727272727272</v>
      </c>
      <c r="Y17" s="5">
        <f t="shared" ca="1" si="21"/>
        <v>69.565217391304344</v>
      </c>
    </row>
    <row r="18" spans="1:25" ht="45" x14ac:dyDescent="0.25">
      <c r="A18" s="33" t="s">
        <v>22</v>
      </c>
      <c r="B18" s="33" t="s">
        <v>26</v>
      </c>
      <c r="C18" s="10" t="s">
        <v>120</v>
      </c>
      <c r="D18" s="8">
        <f ca="1">RANDBETWEEN(D19*0.05,D19*0.1)</f>
        <v>58</v>
      </c>
      <c r="E18" s="8">
        <f ca="1">FLOOR($D18/9,1)</f>
        <v>6</v>
      </c>
      <c r="F18" s="8">
        <f t="shared" ref="F18:L18" ca="1" si="22">FLOOR($D18/9,1)</f>
        <v>6</v>
      </c>
      <c r="G18" s="8">
        <f t="shared" ca="1" si="22"/>
        <v>6</v>
      </c>
      <c r="H18" s="8">
        <f t="shared" ca="1" si="22"/>
        <v>6</v>
      </c>
      <c r="I18" s="8">
        <f t="shared" ca="1" si="22"/>
        <v>6</v>
      </c>
      <c r="J18" s="8">
        <f t="shared" ca="1" si="22"/>
        <v>6</v>
      </c>
      <c r="K18" s="8">
        <f t="shared" ca="1" si="22"/>
        <v>6</v>
      </c>
      <c r="L18" s="8">
        <f t="shared" ca="1" si="22"/>
        <v>6</v>
      </c>
      <c r="M18" s="8">
        <f ca="1">$D18-SUM(E18:L18)</f>
        <v>10</v>
      </c>
      <c r="N18" s="8">
        <f t="shared" ref="N18:R18" ca="1" si="23">FLOOR($D18/6,1)</f>
        <v>9</v>
      </c>
      <c r="O18" s="8">
        <f t="shared" ca="1" si="23"/>
        <v>9</v>
      </c>
      <c r="P18" s="8">
        <f t="shared" ca="1" si="23"/>
        <v>9</v>
      </c>
      <c r="Q18" s="8">
        <f t="shared" ca="1" si="23"/>
        <v>9</v>
      </c>
      <c r="R18" s="8">
        <f t="shared" ca="1" si="23"/>
        <v>9</v>
      </c>
      <c r="S18" s="8">
        <f ca="1">$D18-SUM(N18:R18)</f>
        <v>13</v>
      </c>
      <c r="T18" s="8">
        <f t="shared" ref="T18:X18" ca="1" si="24">FLOOR($D18/6, 1)</f>
        <v>9</v>
      </c>
      <c r="U18" s="8">
        <f t="shared" ca="1" si="24"/>
        <v>9</v>
      </c>
      <c r="V18" s="8">
        <f t="shared" ca="1" si="24"/>
        <v>9</v>
      </c>
      <c r="W18" s="8">
        <f t="shared" ca="1" si="24"/>
        <v>9</v>
      </c>
      <c r="X18" s="8">
        <f t="shared" ca="1" si="24"/>
        <v>9</v>
      </c>
      <c r="Y18" s="8">
        <f ca="1">$D18-SUM(T18:X18)</f>
        <v>13</v>
      </c>
    </row>
    <row r="19" spans="1:25" x14ac:dyDescent="0.25">
      <c r="A19" s="33"/>
      <c r="B19" s="33"/>
      <c r="C19" s="10" t="s">
        <v>25</v>
      </c>
      <c r="D19" s="3">
        <f t="shared" ref="D19:Y19" ca="1" si="25">D10</f>
        <v>665</v>
      </c>
      <c r="E19" s="3">
        <f t="shared" ca="1" si="25"/>
        <v>73</v>
      </c>
      <c r="F19" s="3">
        <f t="shared" ca="1" si="25"/>
        <v>73</v>
      </c>
      <c r="G19" s="3">
        <f t="shared" ca="1" si="25"/>
        <v>73</v>
      </c>
      <c r="H19" s="3">
        <f t="shared" ca="1" si="25"/>
        <v>73</v>
      </c>
      <c r="I19" s="3">
        <f t="shared" ca="1" si="25"/>
        <v>73</v>
      </c>
      <c r="J19" s="3">
        <f t="shared" ca="1" si="25"/>
        <v>73</v>
      </c>
      <c r="K19" s="3">
        <f t="shared" ca="1" si="25"/>
        <v>73</v>
      </c>
      <c r="L19" s="3">
        <f t="shared" ca="1" si="25"/>
        <v>73</v>
      </c>
      <c r="M19" s="3">
        <f t="shared" ca="1" si="25"/>
        <v>81</v>
      </c>
      <c r="N19" s="3">
        <f t="shared" ca="1" si="25"/>
        <v>110</v>
      </c>
      <c r="O19" s="3">
        <f t="shared" ca="1" si="25"/>
        <v>110</v>
      </c>
      <c r="P19" s="3">
        <f t="shared" ca="1" si="25"/>
        <v>110</v>
      </c>
      <c r="Q19" s="3">
        <f t="shared" ca="1" si="25"/>
        <v>110</v>
      </c>
      <c r="R19" s="3">
        <f t="shared" ca="1" si="25"/>
        <v>110</v>
      </c>
      <c r="S19" s="3">
        <f t="shared" ca="1" si="25"/>
        <v>115</v>
      </c>
      <c r="T19" s="3">
        <f t="shared" ca="1" si="25"/>
        <v>110</v>
      </c>
      <c r="U19" s="3">
        <f t="shared" ca="1" si="25"/>
        <v>110</v>
      </c>
      <c r="V19" s="3">
        <f t="shared" ca="1" si="25"/>
        <v>110</v>
      </c>
      <c r="W19" s="3">
        <f t="shared" ca="1" si="25"/>
        <v>110</v>
      </c>
      <c r="X19" s="3">
        <f t="shared" ca="1" si="25"/>
        <v>110</v>
      </c>
      <c r="Y19" s="3">
        <f t="shared" ca="1" si="25"/>
        <v>115</v>
      </c>
    </row>
    <row r="20" spans="1:25" ht="45" x14ac:dyDescent="0.25">
      <c r="A20" s="33"/>
      <c r="B20" s="33"/>
      <c r="C20" s="17" t="s">
        <v>119</v>
      </c>
      <c r="D20" s="5">
        <f t="shared" ref="D20:Y20" ca="1" si="26">IFERROR(D18/D19*1000,0)</f>
        <v>87.218045112781965</v>
      </c>
      <c r="E20" s="5">
        <f t="shared" ca="1" si="26"/>
        <v>82.191780821917803</v>
      </c>
      <c r="F20" s="5">
        <f t="shared" ca="1" si="26"/>
        <v>82.191780821917803</v>
      </c>
      <c r="G20" s="5">
        <f t="shared" ca="1" si="26"/>
        <v>82.191780821917803</v>
      </c>
      <c r="H20" s="5">
        <f t="shared" ca="1" si="26"/>
        <v>82.191780821917803</v>
      </c>
      <c r="I20" s="5">
        <f t="shared" ca="1" si="26"/>
        <v>82.191780821917803</v>
      </c>
      <c r="J20" s="5">
        <f t="shared" ca="1" si="26"/>
        <v>82.191780821917803</v>
      </c>
      <c r="K20" s="5">
        <f t="shared" ca="1" si="26"/>
        <v>82.191780821917803</v>
      </c>
      <c r="L20" s="5">
        <f t="shared" ca="1" si="26"/>
        <v>82.191780821917803</v>
      </c>
      <c r="M20" s="5">
        <f t="shared" ca="1" si="26"/>
        <v>123.45679012345678</v>
      </c>
      <c r="N20" s="5">
        <f t="shared" ca="1" si="26"/>
        <v>81.818181818181813</v>
      </c>
      <c r="O20" s="5">
        <f t="shared" ca="1" si="26"/>
        <v>81.818181818181813</v>
      </c>
      <c r="P20" s="5">
        <f t="shared" ca="1" si="26"/>
        <v>81.818181818181813</v>
      </c>
      <c r="Q20" s="5">
        <f t="shared" ca="1" si="26"/>
        <v>81.818181818181813</v>
      </c>
      <c r="R20" s="5">
        <f t="shared" ca="1" si="26"/>
        <v>81.818181818181813</v>
      </c>
      <c r="S20" s="5">
        <f t="shared" ca="1" si="26"/>
        <v>113.04347826086956</v>
      </c>
      <c r="T20" s="5">
        <f t="shared" ca="1" si="26"/>
        <v>81.818181818181813</v>
      </c>
      <c r="U20" s="5">
        <f t="shared" ca="1" si="26"/>
        <v>81.818181818181813</v>
      </c>
      <c r="V20" s="5">
        <f t="shared" ca="1" si="26"/>
        <v>81.818181818181813</v>
      </c>
      <c r="W20" s="5">
        <f t="shared" ca="1" si="26"/>
        <v>81.818181818181813</v>
      </c>
      <c r="X20" s="5">
        <f t="shared" ca="1" si="26"/>
        <v>81.818181818181813</v>
      </c>
      <c r="Y20" s="5">
        <f t="shared" ca="1" si="26"/>
        <v>113.04347826086956</v>
      </c>
    </row>
    <row r="21" spans="1:25" ht="30" x14ac:dyDescent="0.25">
      <c r="A21" s="33" t="s">
        <v>23</v>
      </c>
      <c r="B21" s="33" t="s">
        <v>26</v>
      </c>
      <c r="C21" s="10" t="s">
        <v>27</v>
      </c>
      <c r="D21" s="8">
        <f ca="1">RANDBETWEEN(D22*0.05,D22*0.1)</f>
        <v>40</v>
      </c>
      <c r="E21" s="8">
        <f ca="1">FLOOR($D21/9,1)</f>
        <v>4</v>
      </c>
      <c r="F21" s="8">
        <f t="shared" ref="F21:L21" ca="1" si="27">FLOOR($D21/9,1)</f>
        <v>4</v>
      </c>
      <c r="G21" s="8">
        <f t="shared" ca="1" si="27"/>
        <v>4</v>
      </c>
      <c r="H21" s="8">
        <f t="shared" ca="1" si="27"/>
        <v>4</v>
      </c>
      <c r="I21" s="8">
        <f t="shared" ca="1" si="27"/>
        <v>4</v>
      </c>
      <c r="J21" s="8">
        <f t="shared" ca="1" si="27"/>
        <v>4</v>
      </c>
      <c r="K21" s="8">
        <f t="shared" ca="1" si="27"/>
        <v>4</v>
      </c>
      <c r="L21" s="8">
        <f t="shared" ca="1" si="27"/>
        <v>4</v>
      </c>
      <c r="M21" s="8">
        <f ca="1">$D21-SUM(E21:L21)</f>
        <v>8</v>
      </c>
      <c r="N21" s="8">
        <f t="shared" ref="N21:R21" ca="1" si="28">FLOOR($D21/6,1)</f>
        <v>6</v>
      </c>
      <c r="O21" s="8">
        <f t="shared" ca="1" si="28"/>
        <v>6</v>
      </c>
      <c r="P21" s="8">
        <f t="shared" ca="1" si="28"/>
        <v>6</v>
      </c>
      <c r="Q21" s="8">
        <f t="shared" ca="1" si="28"/>
        <v>6</v>
      </c>
      <c r="R21" s="8">
        <f t="shared" ca="1" si="28"/>
        <v>6</v>
      </c>
      <c r="S21" s="8">
        <f ca="1">$D21-SUM(N21:R21)</f>
        <v>10</v>
      </c>
      <c r="T21" s="8">
        <f t="shared" ref="T21:X21" ca="1" si="29">FLOOR($D21/6, 1)</f>
        <v>6</v>
      </c>
      <c r="U21" s="8">
        <f t="shared" ca="1" si="29"/>
        <v>6</v>
      </c>
      <c r="V21" s="8">
        <f t="shared" ca="1" si="29"/>
        <v>6</v>
      </c>
      <c r="W21" s="8">
        <f t="shared" ca="1" si="29"/>
        <v>6</v>
      </c>
      <c r="X21" s="8">
        <f t="shared" ca="1" si="29"/>
        <v>6</v>
      </c>
      <c r="Y21" s="8">
        <f ca="1">$D21-SUM(T21:X21)</f>
        <v>10</v>
      </c>
    </row>
    <row r="22" spans="1:25" x14ac:dyDescent="0.25">
      <c r="A22" s="33"/>
      <c r="B22" s="33"/>
      <c r="C22" s="10" t="s">
        <v>25</v>
      </c>
      <c r="D22" s="3">
        <f t="shared" ref="D22:Y22" ca="1" si="30">D7</f>
        <v>665</v>
      </c>
      <c r="E22" s="3">
        <f t="shared" ca="1" si="30"/>
        <v>73</v>
      </c>
      <c r="F22" s="3">
        <f t="shared" ca="1" si="30"/>
        <v>73</v>
      </c>
      <c r="G22" s="3">
        <f t="shared" ca="1" si="30"/>
        <v>73</v>
      </c>
      <c r="H22" s="3">
        <f t="shared" ca="1" si="30"/>
        <v>73</v>
      </c>
      <c r="I22" s="3">
        <f t="shared" ca="1" si="30"/>
        <v>73</v>
      </c>
      <c r="J22" s="3">
        <f t="shared" ca="1" si="30"/>
        <v>73</v>
      </c>
      <c r="K22" s="3">
        <f t="shared" ca="1" si="30"/>
        <v>73</v>
      </c>
      <c r="L22" s="3">
        <f t="shared" ca="1" si="30"/>
        <v>73</v>
      </c>
      <c r="M22" s="3">
        <f t="shared" ca="1" si="30"/>
        <v>81</v>
      </c>
      <c r="N22" s="3">
        <f t="shared" ca="1" si="30"/>
        <v>110</v>
      </c>
      <c r="O22" s="3">
        <f t="shared" ca="1" si="30"/>
        <v>110</v>
      </c>
      <c r="P22" s="3">
        <f t="shared" ca="1" si="30"/>
        <v>110</v>
      </c>
      <c r="Q22" s="3">
        <f t="shared" ca="1" si="30"/>
        <v>110</v>
      </c>
      <c r="R22" s="3">
        <f t="shared" ca="1" si="30"/>
        <v>110</v>
      </c>
      <c r="S22" s="3">
        <f t="shared" ca="1" si="30"/>
        <v>115</v>
      </c>
      <c r="T22" s="3">
        <f t="shared" ca="1" si="30"/>
        <v>110</v>
      </c>
      <c r="U22" s="3">
        <f t="shared" ca="1" si="30"/>
        <v>110</v>
      </c>
      <c r="V22" s="3">
        <f t="shared" ca="1" si="30"/>
        <v>110</v>
      </c>
      <c r="W22" s="3">
        <f t="shared" ca="1" si="30"/>
        <v>110</v>
      </c>
      <c r="X22" s="3">
        <f t="shared" ca="1" si="30"/>
        <v>110</v>
      </c>
      <c r="Y22" s="3">
        <f t="shared" ca="1" si="30"/>
        <v>115</v>
      </c>
    </row>
    <row r="23" spans="1:25" ht="30" x14ac:dyDescent="0.25">
      <c r="A23" s="33"/>
      <c r="B23" s="33"/>
      <c r="C23" s="17" t="s">
        <v>27</v>
      </c>
      <c r="D23" s="5">
        <f t="shared" ref="D23:Y23" ca="1" si="31">IFERROR(D21/D22*1000,0)</f>
        <v>60.150375939849624</v>
      </c>
      <c r="E23" s="5">
        <f t="shared" ca="1" si="31"/>
        <v>54.794520547945204</v>
      </c>
      <c r="F23" s="5">
        <f t="shared" ca="1" si="31"/>
        <v>54.794520547945204</v>
      </c>
      <c r="G23" s="5">
        <f t="shared" ca="1" si="31"/>
        <v>54.794520547945204</v>
      </c>
      <c r="H23" s="5">
        <f t="shared" ca="1" si="31"/>
        <v>54.794520547945204</v>
      </c>
      <c r="I23" s="5">
        <f t="shared" ca="1" si="31"/>
        <v>54.794520547945204</v>
      </c>
      <c r="J23" s="5">
        <f t="shared" ca="1" si="31"/>
        <v>54.794520547945204</v>
      </c>
      <c r="K23" s="5">
        <f t="shared" ca="1" si="31"/>
        <v>54.794520547945204</v>
      </c>
      <c r="L23" s="5">
        <f t="shared" ca="1" si="31"/>
        <v>54.794520547945204</v>
      </c>
      <c r="M23" s="5">
        <f t="shared" ca="1" si="31"/>
        <v>98.76543209876543</v>
      </c>
      <c r="N23" s="5">
        <f t="shared" ca="1" si="31"/>
        <v>54.54545454545454</v>
      </c>
      <c r="O23" s="5">
        <f t="shared" ca="1" si="31"/>
        <v>54.54545454545454</v>
      </c>
      <c r="P23" s="5">
        <f t="shared" ca="1" si="31"/>
        <v>54.54545454545454</v>
      </c>
      <c r="Q23" s="5">
        <f t="shared" ca="1" si="31"/>
        <v>54.54545454545454</v>
      </c>
      <c r="R23" s="5">
        <f t="shared" ca="1" si="31"/>
        <v>54.54545454545454</v>
      </c>
      <c r="S23" s="5">
        <f t="shared" ca="1" si="31"/>
        <v>86.956521739130437</v>
      </c>
      <c r="T23" s="5">
        <f t="shared" ca="1" si="31"/>
        <v>54.54545454545454</v>
      </c>
      <c r="U23" s="5">
        <f t="shared" ca="1" si="31"/>
        <v>54.54545454545454</v>
      </c>
      <c r="V23" s="5">
        <f t="shared" ca="1" si="31"/>
        <v>54.54545454545454</v>
      </c>
      <c r="W23" s="5">
        <f t="shared" ca="1" si="31"/>
        <v>54.54545454545454</v>
      </c>
      <c r="X23" s="5">
        <f t="shared" ca="1" si="31"/>
        <v>54.54545454545454</v>
      </c>
      <c r="Y23" s="5">
        <f t="shared" ca="1" si="31"/>
        <v>86.956521739130437</v>
      </c>
    </row>
    <row r="24" spans="1:25" ht="30" x14ac:dyDescent="0.25">
      <c r="A24" s="33" t="s">
        <v>24</v>
      </c>
      <c r="B24" s="33" t="s">
        <v>26</v>
      </c>
      <c r="C24" s="10" t="s">
        <v>121</v>
      </c>
      <c r="D24" s="8">
        <f ca="1">RANDBETWEEN(D25*0.1,D25*0.2)</f>
        <v>82</v>
      </c>
      <c r="E24" s="8">
        <f ca="1">FLOOR($D24/9,1)</f>
        <v>9</v>
      </c>
      <c r="F24" s="8">
        <f t="shared" ref="F24:L24" ca="1" si="32">FLOOR($D24/9,1)</f>
        <v>9</v>
      </c>
      <c r="G24" s="8">
        <f t="shared" ca="1" si="32"/>
        <v>9</v>
      </c>
      <c r="H24" s="8">
        <f t="shared" ca="1" si="32"/>
        <v>9</v>
      </c>
      <c r="I24" s="8">
        <f t="shared" ca="1" si="32"/>
        <v>9</v>
      </c>
      <c r="J24" s="8">
        <f t="shared" ca="1" si="32"/>
        <v>9</v>
      </c>
      <c r="K24" s="8">
        <f t="shared" ca="1" si="32"/>
        <v>9</v>
      </c>
      <c r="L24" s="8">
        <f t="shared" ca="1" si="32"/>
        <v>9</v>
      </c>
      <c r="M24" s="8">
        <f ca="1">$D24-SUM(E24:L24)</f>
        <v>10</v>
      </c>
      <c r="N24" s="8">
        <f t="shared" ref="N24:R24" ca="1" si="33">FLOOR($D24/6,1)</f>
        <v>13</v>
      </c>
      <c r="O24" s="8">
        <f t="shared" ca="1" si="33"/>
        <v>13</v>
      </c>
      <c r="P24" s="8">
        <f t="shared" ca="1" si="33"/>
        <v>13</v>
      </c>
      <c r="Q24" s="8">
        <f t="shared" ca="1" si="33"/>
        <v>13</v>
      </c>
      <c r="R24" s="8">
        <f t="shared" ca="1" si="33"/>
        <v>13</v>
      </c>
      <c r="S24" s="8">
        <f ca="1">$D24-SUM(N24:R24)</f>
        <v>17</v>
      </c>
      <c r="T24" s="8">
        <f t="shared" ref="T24:X24" ca="1" si="34">FLOOR($D24/6, 1)</f>
        <v>13</v>
      </c>
      <c r="U24" s="8">
        <f t="shared" ca="1" si="34"/>
        <v>13</v>
      </c>
      <c r="V24" s="8">
        <f t="shared" ca="1" si="34"/>
        <v>13</v>
      </c>
      <c r="W24" s="8">
        <f t="shared" ca="1" si="34"/>
        <v>13</v>
      </c>
      <c r="X24" s="8">
        <f t="shared" ca="1" si="34"/>
        <v>13</v>
      </c>
      <c r="Y24" s="8">
        <f ca="1">$D24-SUM(T24:X24)</f>
        <v>17</v>
      </c>
    </row>
    <row r="25" spans="1:25" x14ac:dyDescent="0.25">
      <c r="A25" s="33"/>
      <c r="B25" s="33"/>
      <c r="C25" s="10" t="s">
        <v>25</v>
      </c>
      <c r="D25" s="3">
        <f t="shared" ref="D25:Y25" ca="1" si="35">D16</f>
        <v>665</v>
      </c>
      <c r="E25" s="3">
        <f t="shared" ca="1" si="35"/>
        <v>73</v>
      </c>
      <c r="F25" s="3">
        <f t="shared" ca="1" si="35"/>
        <v>73</v>
      </c>
      <c r="G25" s="3">
        <f t="shared" ca="1" si="35"/>
        <v>73</v>
      </c>
      <c r="H25" s="3">
        <f t="shared" ca="1" si="35"/>
        <v>73</v>
      </c>
      <c r="I25" s="3">
        <f t="shared" ca="1" si="35"/>
        <v>73</v>
      </c>
      <c r="J25" s="3">
        <f t="shared" ca="1" si="35"/>
        <v>73</v>
      </c>
      <c r="K25" s="3">
        <f t="shared" ca="1" si="35"/>
        <v>73</v>
      </c>
      <c r="L25" s="3">
        <f t="shared" ca="1" si="35"/>
        <v>73</v>
      </c>
      <c r="M25" s="3">
        <f t="shared" ca="1" si="35"/>
        <v>81</v>
      </c>
      <c r="N25" s="3">
        <f t="shared" ca="1" si="35"/>
        <v>110</v>
      </c>
      <c r="O25" s="3">
        <f t="shared" ca="1" si="35"/>
        <v>110</v>
      </c>
      <c r="P25" s="3">
        <f t="shared" ca="1" si="35"/>
        <v>110</v>
      </c>
      <c r="Q25" s="3">
        <f t="shared" ca="1" si="35"/>
        <v>110</v>
      </c>
      <c r="R25" s="3">
        <f t="shared" ca="1" si="35"/>
        <v>110</v>
      </c>
      <c r="S25" s="3">
        <f t="shared" ca="1" si="35"/>
        <v>115</v>
      </c>
      <c r="T25" s="3">
        <f t="shared" ca="1" si="35"/>
        <v>110</v>
      </c>
      <c r="U25" s="3">
        <f t="shared" ca="1" si="35"/>
        <v>110</v>
      </c>
      <c r="V25" s="3">
        <f t="shared" ca="1" si="35"/>
        <v>110</v>
      </c>
      <c r="W25" s="3">
        <f t="shared" ca="1" si="35"/>
        <v>110</v>
      </c>
      <c r="X25" s="3">
        <f t="shared" ca="1" si="35"/>
        <v>110</v>
      </c>
      <c r="Y25" s="3">
        <f t="shared" ca="1" si="35"/>
        <v>115</v>
      </c>
    </row>
    <row r="26" spans="1:25" ht="30" x14ac:dyDescent="0.25">
      <c r="A26" s="33"/>
      <c r="B26" s="33"/>
      <c r="C26" s="17" t="s">
        <v>122</v>
      </c>
      <c r="D26" s="5">
        <f t="shared" ref="D26:Y26" ca="1" si="36">IFERROR(D24/D25*1000,0)</f>
        <v>123.30827067669173</v>
      </c>
      <c r="E26" s="5">
        <f t="shared" ca="1" si="36"/>
        <v>123.2876712328767</v>
      </c>
      <c r="F26" s="5">
        <f t="shared" ca="1" si="36"/>
        <v>123.2876712328767</v>
      </c>
      <c r="G26" s="5">
        <f t="shared" ca="1" si="36"/>
        <v>123.2876712328767</v>
      </c>
      <c r="H26" s="5">
        <f t="shared" ca="1" si="36"/>
        <v>123.2876712328767</v>
      </c>
      <c r="I26" s="5">
        <f t="shared" ca="1" si="36"/>
        <v>123.2876712328767</v>
      </c>
      <c r="J26" s="5">
        <f t="shared" ca="1" si="36"/>
        <v>123.2876712328767</v>
      </c>
      <c r="K26" s="5">
        <f t="shared" ca="1" si="36"/>
        <v>123.2876712328767</v>
      </c>
      <c r="L26" s="5">
        <f t="shared" ca="1" si="36"/>
        <v>123.2876712328767</v>
      </c>
      <c r="M26" s="5">
        <f t="shared" ca="1" si="36"/>
        <v>123.45679012345678</v>
      </c>
      <c r="N26" s="5">
        <f t="shared" ca="1" si="36"/>
        <v>118.18181818181817</v>
      </c>
      <c r="O26" s="5">
        <f t="shared" ca="1" si="36"/>
        <v>118.18181818181817</v>
      </c>
      <c r="P26" s="5">
        <f t="shared" ca="1" si="36"/>
        <v>118.18181818181817</v>
      </c>
      <c r="Q26" s="5">
        <f t="shared" ca="1" si="36"/>
        <v>118.18181818181817</v>
      </c>
      <c r="R26" s="5">
        <f t="shared" ca="1" si="36"/>
        <v>118.18181818181817</v>
      </c>
      <c r="S26" s="5">
        <f t="shared" ca="1" si="36"/>
        <v>147.82608695652175</v>
      </c>
      <c r="T26" s="5">
        <f t="shared" ca="1" si="36"/>
        <v>118.18181818181817</v>
      </c>
      <c r="U26" s="5">
        <f t="shared" ca="1" si="36"/>
        <v>118.18181818181817</v>
      </c>
      <c r="V26" s="5">
        <f t="shared" ca="1" si="36"/>
        <v>118.18181818181817</v>
      </c>
      <c r="W26" s="5">
        <f t="shared" ca="1" si="36"/>
        <v>118.18181818181817</v>
      </c>
      <c r="X26" s="5">
        <f t="shared" ca="1" si="36"/>
        <v>118.18181818181817</v>
      </c>
      <c r="Y26" s="5">
        <f t="shared" ca="1" si="36"/>
        <v>147.82608695652175</v>
      </c>
    </row>
    <row r="27" spans="1:25" ht="30" x14ac:dyDescent="0.25">
      <c r="A27" s="33" t="s">
        <v>24</v>
      </c>
      <c r="B27" s="33" t="s">
        <v>26</v>
      </c>
      <c r="C27" s="10" t="s">
        <v>123</v>
      </c>
      <c r="D27" s="8">
        <f ca="1">RANDBETWEEN(D28*0.1,D28*0.2)</f>
        <v>94</v>
      </c>
      <c r="E27" s="8">
        <f ca="1">FLOOR($D27/9,1)</f>
        <v>10</v>
      </c>
      <c r="F27" s="8">
        <f t="shared" ref="F27:L27" ca="1" si="37">FLOOR($D27/9,1)</f>
        <v>10</v>
      </c>
      <c r="G27" s="8">
        <f t="shared" ca="1" si="37"/>
        <v>10</v>
      </c>
      <c r="H27" s="8">
        <f t="shared" ca="1" si="37"/>
        <v>10</v>
      </c>
      <c r="I27" s="8">
        <f t="shared" ca="1" si="37"/>
        <v>10</v>
      </c>
      <c r="J27" s="8">
        <f t="shared" ca="1" si="37"/>
        <v>10</v>
      </c>
      <c r="K27" s="8">
        <f t="shared" ca="1" si="37"/>
        <v>10</v>
      </c>
      <c r="L27" s="8">
        <f t="shared" ca="1" si="37"/>
        <v>10</v>
      </c>
      <c r="M27" s="8">
        <f ca="1">$D27-SUM(E27:L27)</f>
        <v>14</v>
      </c>
      <c r="N27" s="8">
        <f t="shared" ref="N27:R27" ca="1" si="38">FLOOR($D27/6,1)</f>
        <v>15</v>
      </c>
      <c r="O27" s="8">
        <f t="shared" ca="1" si="38"/>
        <v>15</v>
      </c>
      <c r="P27" s="8">
        <f t="shared" ca="1" si="38"/>
        <v>15</v>
      </c>
      <c r="Q27" s="8">
        <f t="shared" ca="1" si="38"/>
        <v>15</v>
      </c>
      <c r="R27" s="8">
        <f t="shared" ca="1" si="38"/>
        <v>15</v>
      </c>
      <c r="S27" s="8">
        <f ca="1">$D27-SUM(N27:R27)</f>
        <v>19</v>
      </c>
      <c r="T27" s="8">
        <f t="shared" ref="T27:X27" ca="1" si="39">FLOOR($D27/6, 1)</f>
        <v>15</v>
      </c>
      <c r="U27" s="8">
        <f t="shared" ca="1" si="39"/>
        <v>15</v>
      </c>
      <c r="V27" s="8">
        <f t="shared" ca="1" si="39"/>
        <v>15</v>
      </c>
      <c r="W27" s="8">
        <f t="shared" ca="1" si="39"/>
        <v>15</v>
      </c>
      <c r="X27" s="8">
        <f t="shared" ca="1" si="39"/>
        <v>15</v>
      </c>
      <c r="Y27" s="8">
        <f ca="1">$D27-SUM(T27:X27)</f>
        <v>19</v>
      </c>
    </row>
    <row r="28" spans="1:25" x14ac:dyDescent="0.25">
      <c r="A28" s="33"/>
      <c r="B28" s="33"/>
      <c r="C28" s="10" t="s">
        <v>25</v>
      </c>
      <c r="D28" s="3">
        <f t="shared" ref="D28:Y28" ca="1" si="40">D19</f>
        <v>665</v>
      </c>
      <c r="E28" s="3">
        <f t="shared" ca="1" si="40"/>
        <v>73</v>
      </c>
      <c r="F28" s="3">
        <f t="shared" ca="1" si="40"/>
        <v>73</v>
      </c>
      <c r="G28" s="3">
        <f t="shared" ca="1" si="40"/>
        <v>73</v>
      </c>
      <c r="H28" s="3">
        <f t="shared" ca="1" si="40"/>
        <v>73</v>
      </c>
      <c r="I28" s="3">
        <f t="shared" ca="1" si="40"/>
        <v>73</v>
      </c>
      <c r="J28" s="3">
        <f t="shared" ca="1" si="40"/>
        <v>73</v>
      </c>
      <c r="K28" s="3">
        <f t="shared" ca="1" si="40"/>
        <v>73</v>
      </c>
      <c r="L28" s="3">
        <f t="shared" ca="1" si="40"/>
        <v>73</v>
      </c>
      <c r="M28" s="3">
        <f t="shared" ca="1" si="40"/>
        <v>81</v>
      </c>
      <c r="N28" s="3">
        <f t="shared" ca="1" si="40"/>
        <v>110</v>
      </c>
      <c r="O28" s="3">
        <f t="shared" ca="1" si="40"/>
        <v>110</v>
      </c>
      <c r="P28" s="3">
        <f t="shared" ca="1" si="40"/>
        <v>110</v>
      </c>
      <c r="Q28" s="3">
        <f t="shared" ca="1" si="40"/>
        <v>110</v>
      </c>
      <c r="R28" s="3">
        <f t="shared" ca="1" si="40"/>
        <v>110</v>
      </c>
      <c r="S28" s="3">
        <f t="shared" ca="1" si="40"/>
        <v>115</v>
      </c>
      <c r="T28" s="3">
        <f t="shared" ca="1" si="40"/>
        <v>110</v>
      </c>
      <c r="U28" s="3">
        <f t="shared" ca="1" si="40"/>
        <v>110</v>
      </c>
      <c r="V28" s="3">
        <f t="shared" ca="1" si="40"/>
        <v>110</v>
      </c>
      <c r="W28" s="3">
        <f t="shared" ca="1" si="40"/>
        <v>110</v>
      </c>
      <c r="X28" s="3">
        <f t="shared" ca="1" si="40"/>
        <v>110</v>
      </c>
      <c r="Y28" s="3">
        <f t="shared" ca="1" si="40"/>
        <v>115</v>
      </c>
    </row>
    <row r="29" spans="1:25" ht="30" x14ac:dyDescent="0.25">
      <c r="A29" s="33"/>
      <c r="B29" s="33"/>
      <c r="C29" s="17" t="s">
        <v>124</v>
      </c>
      <c r="D29" s="5">
        <f t="shared" ref="D29:Y29" ca="1" si="41">IFERROR(D27/D28*1000,0)</f>
        <v>141.35338345864662</v>
      </c>
      <c r="E29" s="5">
        <f t="shared" ca="1" si="41"/>
        <v>136.98630136986301</v>
      </c>
      <c r="F29" s="5">
        <f t="shared" ca="1" si="41"/>
        <v>136.98630136986301</v>
      </c>
      <c r="G29" s="5">
        <f t="shared" ca="1" si="41"/>
        <v>136.98630136986301</v>
      </c>
      <c r="H29" s="5">
        <f t="shared" ca="1" si="41"/>
        <v>136.98630136986301</v>
      </c>
      <c r="I29" s="5">
        <f t="shared" ca="1" si="41"/>
        <v>136.98630136986301</v>
      </c>
      <c r="J29" s="5">
        <f t="shared" ca="1" si="41"/>
        <v>136.98630136986301</v>
      </c>
      <c r="K29" s="5">
        <f t="shared" ca="1" si="41"/>
        <v>136.98630136986301</v>
      </c>
      <c r="L29" s="5">
        <f t="shared" ca="1" si="41"/>
        <v>136.98630136986301</v>
      </c>
      <c r="M29" s="5">
        <f t="shared" ca="1" si="41"/>
        <v>172.83950617283949</v>
      </c>
      <c r="N29" s="5">
        <f t="shared" ca="1" si="41"/>
        <v>136.36363636363635</v>
      </c>
      <c r="O29" s="5">
        <f t="shared" ca="1" si="41"/>
        <v>136.36363636363635</v>
      </c>
      <c r="P29" s="5">
        <f t="shared" ca="1" si="41"/>
        <v>136.36363636363635</v>
      </c>
      <c r="Q29" s="5">
        <f t="shared" ca="1" si="41"/>
        <v>136.36363636363635</v>
      </c>
      <c r="R29" s="5">
        <f t="shared" ca="1" si="41"/>
        <v>136.36363636363635</v>
      </c>
      <c r="S29" s="5">
        <f t="shared" ca="1" si="41"/>
        <v>165.21739130434781</v>
      </c>
      <c r="T29" s="5">
        <f t="shared" ca="1" si="41"/>
        <v>136.36363636363635</v>
      </c>
      <c r="U29" s="5">
        <f t="shared" ca="1" si="41"/>
        <v>136.36363636363635</v>
      </c>
      <c r="V29" s="5">
        <f t="shared" ca="1" si="41"/>
        <v>136.36363636363635</v>
      </c>
      <c r="W29" s="5">
        <f t="shared" ca="1" si="41"/>
        <v>136.36363636363635</v>
      </c>
      <c r="X29" s="5">
        <f t="shared" ca="1" si="41"/>
        <v>136.36363636363635</v>
      </c>
      <c r="Y29" s="5">
        <f t="shared" ca="1" si="41"/>
        <v>165.21739130434781</v>
      </c>
    </row>
    <row r="30" spans="1:25" ht="30" x14ac:dyDescent="0.25">
      <c r="A30" s="33" t="s">
        <v>24</v>
      </c>
      <c r="B30" s="33" t="s">
        <v>26</v>
      </c>
      <c r="C30" s="10" t="s">
        <v>125</v>
      </c>
      <c r="D30" s="8">
        <f ca="1">RANDBETWEEN(D31*0.1,D31*0.2)</f>
        <v>89</v>
      </c>
      <c r="E30" s="8">
        <f ca="1">FLOOR($D30/9,1)</f>
        <v>9</v>
      </c>
      <c r="F30" s="8">
        <f t="shared" ref="F30:L30" ca="1" si="42">FLOOR($D30/9,1)</f>
        <v>9</v>
      </c>
      <c r="G30" s="8">
        <f t="shared" ca="1" si="42"/>
        <v>9</v>
      </c>
      <c r="H30" s="8">
        <f t="shared" ca="1" si="42"/>
        <v>9</v>
      </c>
      <c r="I30" s="8">
        <f t="shared" ca="1" si="42"/>
        <v>9</v>
      </c>
      <c r="J30" s="8">
        <f t="shared" ca="1" si="42"/>
        <v>9</v>
      </c>
      <c r="K30" s="8">
        <f t="shared" ca="1" si="42"/>
        <v>9</v>
      </c>
      <c r="L30" s="8">
        <f t="shared" ca="1" si="42"/>
        <v>9</v>
      </c>
      <c r="M30" s="8">
        <f ca="1">$D30-SUM(E30:L30)</f>
        <v>17</v>
      </c>
      <c r="N30" s="8">
        <f t="shared" ref="N30:R30" ca="1" si="43">FLOOR($D30/6,1)</f>
        <v>14</v>
      </c>
      <c r="O30" s="8">
        <f t="shared" ca="1" si="43"/>
        <v>14</v>
      </c>
      <c r="P30" s="8">
        <f t="shared" ca="1" si="43"/>
        <v>14</v>
      </c>
      <c r="Q30" s="8">
        <f t="shared" ca="1" si="43"/>
        <v>14</v>
      </c>
      <c r="R30" s="8">
        <f t="shared" ca="1" si="43"/>
        <v>14</v>
      </c>
      <c r="S30" s="8">
        <f ca="1">$D30-SUM(N30:R30)</f>
        <v>19</v>
      </c>
      <c r="T30" s="8">
        <f t="shared" ref="T30:X30" ca="1" si="44">FLOOR($D30/6, 1)</f>
        <v>14</v>
      </c>
      <c r="U30" s="8">
        <f t="shared" ca="1" si="44"/>
        <v>14</v>
      </c>
      <c r="V30" s="8">
        <f t="shared" ca="1" si="44"/>
        <v>14</v>
      </c>
      <c r="W30" s="8">
        <f t="shared" ca="1" si="44"/>
        <v>14</v>
      </c>
      <c r="X30" s="8">
        <f t="shared" ca="1" si="44"/>
        <v>14</v>
      </c>
      <c r="Y30" s="8">
        <f ca="1">$D30-SUM(T30:X30)</f>
        <v>19</v>
      </c>
    </row>
    <row r="31" spans="1:25" x14ac:dyDescent="0.25">
      <c r="A31" s="33"/>
      <c r="B31" s="33"/>
      <c r="C31" s="10" t="s">
        <v>25</v>
      </c>
      <c r="D31" s="3">
        <f t="shared" ref="D31:Y31" ca="1" si="45">D22</f>
        <v>665</v>
      </c>
      <c r="E31" s="3">
        <f t="shared" ca="1" si="45"/>
        <v>73</v>
      </c>
      <c r="F31" s="3">
        <f t="shared" ca="1" si="45"/>
        <v>73</v>
      </c>
      <c r="G31" s="3">
        <f t="shared" ca="1" si="45"/>
        <v>73</v>
      </c>
      <c r="H31" s="3">
        <f t="shared" ca="1" si="45"/>
        <v>73</v>
      </c>
      <c r="I31" s="3">
        <f t="shared" ca="1" si="45"/>
        <v>73</v>
      </c>
      <c r="J31" s="3">
        <f t="shared" ca="1" si="45"/>
        <v>73</v>
      </c>
      <c r="K31" s="3">
        <f t="shared" ca="1" si="45"/>
        <v>73</v>
      </c>
      <c r="L31" s="3">
        <f t="shared" ca="1" si="45"/>
        <v>73</v>
      </c>
      <c r="M31" s="3">
        <f t="shared" ca="1" si="45"/>
        <v>81</v>
      </c>
      <c r="N31" s="3">
        <f t="shared" ca="1" si="45"/>
        <v>110</v>
      </c>
      <c r="O31" s="3">
        <f t="shared" ca="1" si="45"/>
        <v>110</v>
      </c>
      <c r="P31" s="3">
        <f t="shared" ca="1" si="45"/>
        <v>110</v>
      </c>
      <c r="Q31" s="3">
        <f t="shared" ca="1" si="45"/>
        <v>110</v>
      </c>
      <c r="R31" s="3">
        <f t="shared" ca="1" si="45"/>
        <v>110</v>
      </c>
      <c r="S31" s="3">
        <f t="shared" ca="1" si="45"/>
        <v>115</v>
      </c>
      <c r="T31" s="3">
        <f t="shared" ca="1" si="45"/>
        <v>110</v>
      </c>
      <c r="U31" s="3">
        <f t="shared" ca="1" si="45"/>
        <v>110</v>
      </c>
      <c r="V31" s="3">
        <f t="shared" ca="1" si="45"/>
        <v>110</v>
      </c>
      <c r="W31" s="3">
        <f t="shared" ca="1" si="45"/>
        <v>110</v>
      </c>
      <c r="X31" s="3">
        <f t="shared" ca="1" si="45"/>
        <v>110</v>
      </c>
      <c r="Y31" s="3">
        <f t="shared" ca="1" si="45"/>
        <v>115</v>
      </c>
    </row>
    <row r="32" spans="1:25" ht="30" x14ac:dyDescent="0.25">
      <c r="A32" s="33"/>
      <c r="B32" s="33"/>
      <c r="C32" s="17" t="s">
        <v>126</v>
      </c>
      <c r="D32" s="5">
        <f t="shared" ref="D32:Y32" ca="1" si="46">IFERROR(D30/D31*1000,0)</f>
        <v>133.8345864661654</v>
      </c>
      <c r="E32" s="5">
        <f t="shared" ca="1" si="46"/>
        <v>123.2876712328767</v>
      </c>
      <c r="F32" s="5">
        <f t="shared" ca="1" si="46"/>
        <v>123.2876712328767</v>
      </c>
      <c r="G32" s="5">
        <f t="shared" ca="1" si="46"/>
        <v>123.2876712328767</v>
      </c>
      <c r="H32" s="5">
        <f t="shared" ca="1" si="46"/>
        <v>123.2876712328767</v>
      </c>
      <c r="I32" s="5">
        <f t="shared" ca="1" si="46"/>
        <v>123.2876712328767</v>
      </c>
      <c r="J32" s="5">
        <f t="shared" ca="1" si="46"/>
        <v>123.2876712328767</v>
      </c>
      <c r="K32" s="5">
        <f t="shared" ca="1" si="46"/>
        <v>123.2876712328767</v>
      </c>
      <c r="L32" s="5">
        <f t="shared" ca="1" si="46"/>
        <v>123.2876712328767</v>
      </c>
      <c r="M32" s="5">
        <f t="shared" ca="1" si="46"/>
        <v>209.87654320987653</v>
      </c>
      <c r="N32" s="5">
        <f t="shared" ca="1" si="46"/>
        <v>127.27272727272727</v>
      </c>
      <c r="O32" s="5">
        <f t="shared" ca="1" si="46"/>
        <v>127.27272727272727</v>
      </c>
      <c r="P32" s="5">
        <f t="shared" ca="1" si="46"/>
        <v>127.27272727272727</v>
      </c>
      <c r="Q32" s="5">
        <f t="shared" ca="1" si="46"/>
        <v>127.27272727272727</v>
      </c>
      <c r="R32" s="5">
        <f t="shared" ca="1" si="46"/>
        <v>127.27272727272727</v>
      </c>
      <c r="S32" s="5">
        <f t="shared" ca="1" si="46"/>
        <v>165.21739130434781</v>
      </c>
      <c r="T32" s="5">
        <f t="shared" ca="1" si="46"/>
        <v>127.27272727272727</v>
      </c>
      <c r="U32" s="5">
        <f t="shared" ca="1" si="46"/>
        <v>127.27272727272727</v>
      </c>
      <c r="V32" s="5">
        <f t="shared" ca="1" si="46"/>
        <v>127.27272727272727</v>
      </c>
      <c r="W32" s="5">
        <f t="shared" ca="1" si="46"/>
        <v>127.27272727272727</v>
      </c>
      <c r="X32" s="5">
        <f t="shared" ca="1" si="46"/>
        <v>127.27272727272727</v>
      </c>
      <c r="Y32" s="5">
        <f t="shared" ca="1" si="46"/>
        <v>165.21739130434781</v>
      </c>
    </row>
    <row r="33" spans="1:25" ht="30" x14ac:dyDescent="0.25">
      <c r="A33" s="33" t="s">
        <v>24</v>
      </c>
      <c r="B33" s="33" t="s">
        <v>26</v>
      </c>
      <c r="C33" s="10" t="s">
        <v>127</v>
      </c>
      <c r="D33" s="8">
        <f ca="1">RANDBETWEEN(D34*0.1,D34*0.2)</f>
        <v>128</v>
      </c>
      <c r="E33" s="8">
        <f ca="1">FLOOR($D33/9,1)</f>
        <v>14</v>
      </c>
      <c r="F33" s="8">
        <f t="shared" ref="F33:L33" ca="1" si="47">FLOOR($D33/9,1)</f>
        <v>14</v>
      </c>
      <c r="G33" s="8">
        <f t="shared" ca="1" si="47"/>
        <v>14</v>
      </c>
      <c r="H33" s="8">
        <f t="shared" ca="1" si="47"/>
        <v>14</v>
      </c>
      <c r="I33" s="8">
        <f t="shared" ca="1" si="47"/>
        <v>14</v>
      </c>
      <c r="J33" s="8">
        <f t="shared" ca="1" si="47"/>
        <v>14</v>
      </c>
      <c r="K33" s="8">
        <f t="shared" ca="1" si="47"/>
        <v>14</v>
      </c>
      <c r="L33" s="8">
        <f t="shared" ca="1" si="47"/>
        <v>14</v>
      </c>
      <c r="M33" s="8">
        <f ca="1">$D33-SUM(E33:L33)</f>
        <v>16</v>
      </c>
      <c r="N33" s="8">
        <f t="shared" ref="N33:R33" ca="1" si="48">FLOOR($D33/6,1)</f>
        <v>21</v>
      </c>
      <c r="O33" s="8">
        <f t="shared" ca="1" si="48"/>
        <v>21</v>
      </c>
      <c r="P33" s="8">
        <f t="shared" ca="1" si="48"/>
        <v>21</v>
      </c>
      <c r="Q33" s="8">
        <f t="shared" ca="1" si="48"/>
        <v>21</v>
      </c>
      <c r="R33" s="8">
        <f t="shared" ca="1" si="48"/>
        <v>21</v>
      </c>
      <c r="S33" s="8">
        <f ca="1">$D33-SUM(N33:R33)</f>
        <v>23</v>
      </c>
      <c r="T33" s="8">
        <f t="shared" ref="T33:X33" ca="1" si="49">FLOOR($D33/6, 1)</f>
        <v>21</v>
      </c>
      <c r="U33" s="8">
        <f t="shared" ca="1" si="49"/>
        <v>21</v>
      </c>
      <c r="V33" s="8">
        <f t="shared" ca="1" si="49"/>
        <v>21</v>
      </c>
      <c r="W33" s="8">
        <f t="shared" ca="1" si="49"/>
        <v>21</v>
      </c>
      <c r="X33" s="8">
        <f t="shared" ca="1" si="49"/>
        <v>21</v>
      </c>
      <c r="Y33" s="8">
        <f ca="1">$D33-SUM(T33:X33)</f>
        <v>23</v>
      </c>
    </row>
    <row r="34" spans="1:25" x14ac:dyDescent="0.25">
      <c r="A34" s="33"/>
      <c r="B34" s="33"/>
      <c r="C34" s="10" t="s">
        <v>25</v>
      </c>
      <c r="D34" s="3">
        <f t="shared" ref="D34:Y34" ca="1" si="50">D25</f>
        <v>665</v>
      </c>
      <c r="E34" s="3">
        <f t="shared" ca="1" si="50"/>
        <v>73</v>
      </c>
      <c r="F34" s="3">
        <f t="shared" ca="1" si="50"/>
        <v>73</v>
      </c>
      <c r="G34" s="3">
        <f t="shared" ca="1" si="50"/>
        <v>73</v>
      </c>
      <c r="H34" s="3">
        <f t="shared" ca="1" si="50"/>
        <v>73</v>
      </c>
      <c r="I34" s="3">
        <f t="shared" ca="1" si="50"/>
        <v>73</v>
      </c>
      <c r="J34" s="3">
        <f t="shared" ca="1" si="50"/>
        <v>73</v>
      </c>
      <c r="K34" s="3">
        <f t="shared" ca="1" si="50"/>
        <v>73</v>
      </c>
      <c r="L34" s="3">
        <f t="shared" ca="1" si="50"/>
        <v>73</v>
      </c>
      <c r="M34" s="3">
        <f t="shared" ca="1" si="50"/>
        <v>81</v>
      </c>
      <c r="N34" s="3">
        <f t="shared" ca="1" si="50"/>
        <v>110</v>
      </c>
      <c r="O34" s="3">
        <f t="shared" ca="1" si="50"/>
        <v>110</v>
      </c>
      <c r="P34" s="3">
        <f t="shared" ca="1" si="50"/>
        <v>110</v>
      </c>
      <c r="Q34" s="3">
        <f t="shared" ca="1" si="50"/>
        <v>110</v>
      </c>
      <c r="R34" s="3">
        <f t="shared" ca="1" si="50"/>
        <v>110</v>
      </c>
      <c r="S34" s="3">
        <f t="shared" ca="1" si="50"/>
        <v>115</v>
      </c>
      <c r="T34" s="3">
        <f t="shared" ca="1" si="50"/>
        <v>110</v>
      </c>
      <c r="U34" s="3">
        <f t="shared" ca="1" si="50"/>
        <v>110</v>
      </c>
      <c r="V34" s="3">
        <f t="shared" ca="1" si="50"/>
        <v>110</v>
      </c>
      <c r="W34" s="3">
        <f t="shared" ca="1" si="50"/>
        <v>110</v>
      </c>
      <c r="X34" s="3">
        <f t="shared" ca="1" si="50"/>
        <v>110</v>
      </c>
      <c r="Y34" s="3">
        <f t="shared" ca="1" si="50"/>
        <v>115</v>
      </c>
    </row>
    <row r="35" spans="1:25" ht="30" x14ac:dyDescent="0.25">
      <c r="A35" s="33"/>
      <c r="B35" s="33"/>
      <c r="C35" s="17" t="s">
        <v>128</v>
      </c>
      <c r="D35" s="5">
        <f t="shared" ref="D35:Y35" ca="1" si="51">IFERROR(D33/D34*1000,0)</f>
        <v>192.48120300751881</v>
      </c>
      <c r="E35" s="5">
        <f t="shared" ca="1" si="51"/>
        <v>191.7808219178082</v>
      </c>
      <c r="F35" s="5">
        <f t="shared" ca="1" si="51"/>
        <v>191.7808219178082</v>
      </c>
      <c r="G35" s="5">
        <f t="shared" ca="1" si="51"/>
        <v>191.7808219178082</v>
      </c>
      <c r="H35" s="5">
        <f t="shared" ca="1" si="51"/>
        <v>191.7808219178082</v>
      </c>
      <c r="I35" s="5">
        <f t="shared" ca="1" si="51"/>
        <v>191.7808219178082</v>
      </c>
      <c r="J35" s="5">
        <f t="shared" ca="1" si="51"/>
        <v>191.7808219178082</v>
      </c>
      <c r="K35" s="5">
        <f t="shared" ca="1" si="51"/>
        <v>191.7808219178082</v>
      </c>
      <c r="L35" s="5">
        <f t="shared" ca="1" si="51"/>
        <v>191.7808219178082</v>
      </c>
      <c r="M35" s="5">
        <f t="shared" ca="1" si="51"/>
        <v>197.53086419753086</v>
      </c>
      <c r="N35" s="5">
        <f t="shared" ca="1" si="51"/>
        <v>190.90909090909091</v>
      </c>
      <c r="O35" s="5">
        <f t="shared" ca="1" si="51"/>
        <v>190.90909090909091</v>
      </c>
      <c r="P35" s="5">
        <f t="shared" ca="1" si="51"/>
        <v>190.90909090909091</v>
      </c>
      <c r="Q35" s="5">
        <f t="shared" ca="1" si="51"/>
        <v>190.90909090909091</v>
      </c>
      <c r="R35" s="5">
        <f t="shared" ca="1" si="51"/>
        <v>190.90909090909091</v>
      </c>
      <c r="S35" s="5">
        <f t="shared" ca="1" si="51"/>
        <v>200</v>
      </c>
      <c r="T35" s="5">
        <f t="shared" ca="1" si="51"/>
        <v>190.90909090909091</v>
      </c>
      <c r="U35" s="5">
        <f t="shared" ca="1" si="51"/>
        <v>190.90909090909091</v>
      </c>
      <c r="V35" s="5">
        <f t="shared" ca="1" si="51"/>
        <v>190.90909090909091</v>
      </c>
      <c r="W35" s="5">
        <f t="shared" ca="1" si="51"/>
        <v>190.90909090909091</v>
      </c>
      <c r="X35" s="5">
        <f t="shared" ca="1" si="51"/>
        <v>190.90909090909091</v>
      </c>
      <c r="Y35" s="5">
        <f t="shared" ca="1" si="51"/>
        <v>200</v>
      </c>
    </row>
    <row r="36" spans="1:25" ht="30" x14ac:dyDescent="0.25">
      <c r="A36" s="33" t="s">
        <v>35</v>
      </c>
      <c r="B36" s="33" t="s">
        <v>26</v>
      </c>
      <c r="C36" s="10" t="s">
        <v>107</v>
      </c>
      <c r="D36" s="8">
        <f ca="1">RANDBETWEEN(D37*0.1,D37*0.2)</f>
        <v>100</v>
      </c>
      <c r="E36" s="8">
        <f ca="1">FLOOR($D36/9,1)</f>
        <v>11</v>
      </c>
      <c r="F36" s="8">
        <f t="shared" ref="F36:L36" ca="1" si="52">FLOOR($D36/9,1)</f>
        <v>11</v>
      </c>
      <c r="G36" s="8">
        <f t="shared" ca="1" si="52"/>
        <v>11</v>
      </c>
      <c r="H36" s="8">
        <f t="shared" ca="1" si="52"/>
        <v>11</v>
      </c>
      <c r="I36" s="8">
        <f t="shared" ca="1" si="52"/>
        <v>11</v>
      </c>
      <c r="J36" s="8">
        <f t="shared" ca="1" si="52"/>
        <v>11</v>
      </c>
      <c r="K36" s="8">
        <f t="shared" ca="1" si="52"/>
        <v>11</v>
      </c>
      <c r="L36" s="8">
        <f t="shared" ca="1" si="52"/>
        <v>11</v>
      </c>
      <c r="M36" s="8">
        <f ca="1">$D36-SUM(E36:L36)</f>
        <v>12</v>
      </c>
      <c r="N36" s="8">
        <f t="shared" ref="N36:R36" ca="1" si="53">FLOOR($D36/6,1)</f>
        <v>16</v>
      </c>
      <c r="O36" s="8">
        <f t="shared" ca="1" si="53"/>
        <v>16</v>
      </c>
      <c r="P36" s="8">
        <f t="shared" ca="1" si="53"/>
        <v>16</v>
      </c>
      <c r="Q36" s="8">
        <f t="shared" ca="1" si="53"/>
        <v>16</v>
      </c>
      <c r="R36" s="8">
        <f t="shared" ca="1" si="53"/>
        <v>16</v>
      </c>
      <c r="S36" s="8">
        <f ca="1">$D36-SUM(N36:R36)</f>
        <v>20</v>
      </c>
      <c r="T36" s="8">
        <f t="shared" ref="T36:X36" ca="1" si="54">FLOOR($D36/6, 1)</f>
        <v>16</v>
      </c>
      <c r="U36" s="8">
        <f t="shared" ca="1" si="54"/>
        <v>16</v>
      </c>
      <c r="V36" s="8">
        <f t="shared" ca="1" si="54"/>
        <v>16</v>
      </c>
      <c r="W36" s="8">
        <f t="shared" ca="1" si="54"/>
        <v>16</v>
      </c>
      <c r="X36" s="8">
        <f t="shared" ca="1" si="54"/>
        <v>16</v>
      </c>
      <c r="Y36" s="8">
        <f ca="1">$D36-SUM(T36:X36)</f>
        <v>20</v>
      </c>
    </row>
    <row r="37" spans="1:25" x14ac:dyDescent="0.25">
      <c r="A37" s="33"/>
      <c r="B37" s="33"/>
      <c r="C37" s="10" t="s">
        <v>25</v>
      </c>
      <c r="D37" s="3">
        <f ca="1">D22</f>
        <v>665</v>
      </c>
      <c r="E37" s="3">
        <f t="shared" ref="E37:Y37" ca="1" si="55">E22</f>
        <v>73</v>
      </c>
      <c r="F37" s="3">
        <f t="shared" ca="1" si="55"/>
        <v>73</v>
      </c>
      <c r="G37" s="3">
        <f t="shared" ca="1" si="55"/>
        <v>73</v>
      </c>
      <c r="H37" s="3">
        <f t="shared" ca="1" si="55"/>
        <v>73</v>
      </c>
      <c r="I37" s="3">
        <f t="shared" ca="1" si="55"/>
        <v>73</v>
      </c>
      <c r="J37" s="3">
        <f t="shared" ca="1" si="55"/>
        <v>73</v>
      </c>
      <c r="K37" s="3">
        <f t="shared" ca="1" si="55"/>
        <v>73</v>
      </c>
      <c r="L37" s="3">
        <f t="shared" ca="1" si="55"/>
        <v>73</v>
      </c>
      <c r="M37" s="3">
        <f t="shared" ca="1" si="55"/>
        <v>81</v>
      </c>
      <c r="N37" s="3">
        <f t="shared" ca="1" si="55"/>
        <v>110</v>
      </c>
      <c r="O37" s="3">
        <f t="shared" ca="1" si="55"/>
        <v>110</v>
      </c>
      <c r="P37" s="3">
        <f t="shared" ca="1" si="55"/>
        <v>110</v>
      </c>
      <c r="Q37" s="3">
        <f t="shared" ca="1" si="55"/>
        <v>110</v>
      </c>
      <c r="R37" s="3">
        <f t="shared" ca="1" si="55"/>
        <v>110</v>
      </c>
      <c r="S37" s="3">
        <f t="shared" ca="1" si="55"/>
        <v>115</v>
      </c>
      <c r="T37" s="3">
        <f t="shared" ca="1" si="55"/>
        <v>110</v>
      </c>
      <c r="U37" s="3">
        <f t="shared" ca="1" si="55"/>
        <v>110</v>
      </c>
      <c r="V37" s="3">
        <f t="shared" ca="1" si="55"/>
        <v>110</v>
      </c>
      <c r="W37" s="3">
        <f t="shared" ca="1" si="55"/>
        <v>110</v>
      </c>
      <c r="X37" s="3">
        <f t="shared" ca="1" si="55"/>
        <v>110</v>
      </c>
      <c r="Y37" s="3">
        <f t="shared" ca="1" si="55"/>
        <v>115</v>
      </c>
    </row>
    <row r="38" spans="1:25" ht="30" x14ac:dyDescent="0.25">
      <c r="A38" s="33"/>
      <c r="B38" s="33"/>
      <c r="C38" s="17" t="s">
        <v>106</v>
      </c>
      <c r="D38" s="5">
        <f t="shared" ref="D38:Y38" ca="1" si="56">IFERROR(D36/D37*1000,0)</f>
        <v>150.37593984962405</v>
      </c>
      <c r="E38" s="5">
        <f t="shared" ca="1" si="56"/>
        <v>150.6849315068493</v>
      </c>
      <c r="F38" s="5">
        <f t="shared" ca="1" si="56"/>
        <v>150.6849315068493</v>
      </c>
      <c r="G38" s="5">
        <f t="shared" ca="1" si="56"/>
        <v>150.6849315068493</v>
      </c>
      <c r="H38" s="5">
        <f t="shared" ca="1" si="56"/>
        <v>150.6849315068493</v>
      </c>
      <c r="I38" s="5">
        <f t="shared" ca="1" si="56"/>
        <v>150.6849315068493</v>
      </c>
      <c r="J38" s="5">
        <f t="shared" ca="1" si="56"/>
        <v>150.6849315068493</v>
      </c>
      <c r="K38" s="5">
        <f t="shared" ca="1" si="56"/>
        <v>150.6849315068493</v>
      </c>
      <c r="L38" s="5">
        <f t="shared" ca="1" si="56"/>
        <v>150.6849315068493</v>
      </c>
      <c r="M38" s="5">
        <f t="shared" ca="1" si="56"/>
        <v>148.14814814814815</v>
      </c>
      <c r="N38" s="5">
        <f t="shared" ca="1" si="56"/>
        <v>145.45454545454544</v>
      </c>
      <c r="O38" s="5">
        <f t="shared" ca="1" si="56"/>
        <v>145.45454545454544</v>
      </c>
      <c r="P38" s="5">
        <f t="shared" ca="1" si="56"/>
        <v>145.45454545454544</v>
      </c>
      <c r="Q38" s="5">
        <f t="shared" ca="1" si="56"/>
        <v>145.45454545454544</v>
      </c>
      <c r="R38" s="5">
        <f t="shared" ca="1" si="56"/>
        <v>145.45454545454544</v>
      </c>
      <c r="S38" s="5">
        <f t="shared" ca="1" si="56"/>
        <v>173.91304347826087</v>
      </c>
      <c r="T38" s="5">
        <f t="shared" ca="1" si="56"/>
        <v>145.45454545454544</v>
      </c>
      <c r="U38" s="5">
        <f t="shared" ca="1" si="56"/>
        <v>145.45454545454544</v>
      </c>
      <c r="V38" s="5">
        <f t="shared" ca="1" si="56"/>
        <v>145.45454545454544</v>
      </c>
      <c r="W38" s="5">
        <f t="shared" ca="1" si="56"/>
        <v>145.45454545454544</v>
      </c>
      <c r="X38" s="5">
        <f t="shared" ca="1" si="56"/>
        <v>145.45454545454544</v>
      </c>
      <c r="Y38" s="5">
        <f t="shared" ca="1" si="56"/>
        <v>173.91304347826087</v>
      </c>
    </row>
    <row r="39" spans="1:25" ht="30" x14ac:dyDescent="0.25">
      <c r="A39" s="33" t="s">
        <v>35</v>
      </c>
      <c r="B39" s="33" t="s">
        <v>26</v>
      </c>
      <c r="C39" s="10" t="s">
        <v>108</v>
      </c>
      <c r="D39" s="8">
        <f ca="1">RANDBETWEEN(D40*0.1,D40*0.2)</f>
        <v>68</v>
      </c>
      <c r="E39" s="8">
        <f ca="1">FLOOR($D39/9,1)</f>
        <v>7</v>
      </c>
      <c r="F39" s="8">
        <f t="shared" ref="F39:L39" ca="1" si="57">FLOOR($D39/9,1)</f>
        <v>7</v>
      </c>
      <c r="G39" s="8">
        <f t="shared" ca="1" si="57"/>
        <v>7</v>
      </c>
      <c r="H39" s="8">
        <f t="shared" ca="1" si="57"/>
        <v>7</v>
      </c>
      <c r="I39" s="8">
        <f t="shared" ca="1" si="57"/>
        <v>7</v>
      </c>
      <c r="J39" s="8">
        <f t="shared" ca="1" si="57"/>
        <v>7</v>
      </c>
      <c r="K39" s="8">
        <f t="shared" ca="1" si="57"/>
        <v>7</v>
      </c>
      <c r="L39" s="8">
        <f t="shared" ca="1" si="57"/>
        <v>7</v>
      </c>
      <c r="M39" s="8">
        <f ca="1">$D39-SUM(E39:L39)</f>
        <v>12</v>
      </c>
      <c r="N39" s="8">
        <f t="shared" ref="N39:R39" ca="1" si="58">FLOOR($D39/6,1)</f>
        <v>11</v>
      </c>
      <c r="O39" s="8">
        <f t="shared" ca="1" si="58"/>
        <v>11</v>
      </c>
      <c r="P39" s="8">
        <f t="shared" ca="1" si="58"/>
        <v>11</v>
      </c>
      <c r="Q39" s="8">
        <f t="shared" ca="1" si="58"/>
        <v>11</v>
      </c>
      <c r="R39" s="8">
        <f t="shared" ca="1" si="58"/>
        <v>11</v>
      </c>
      <c r="S39" s="8">
        <f ca="1">$D39-SUM(N39:R39)</f>
        <v>13</v>
      </c>
      <c r="T39" s="8">
        <f t="shared" ref="T39:X39" ca="1" si="59">FLOOR($D39/6, 1)</f>
        <v>11</v>
      </c>
      <c r="U39" s="8">
        <f t="shared" ca="1" si="59"/>
        <v>11</v>
      </c>
      <c r="V39" s="8">
        <f t="shared" ca="1" si="59"/>
        <v>11</v>
      </c>
      <c r="W39" s="8">
        <f t="shared" ca="1" si="59"/>
        <v>11</v>
      </c>
      <c r="X39" s="8">
        <f t="shared" ca="1" si="59"/>
        <v>11</v>
      </c>
      <c r="Y39" s="8">
        <f ca="1">$D39-SUM(T39:X39)</f>
        <v>13</v>
      </c>
    </row>
    <row r="40" spans="1:25" x14ac:dyDescent="0.25">
      <c r="A40" s="33"/>
      <c r="B40" s="33"/>
      <c r="C40" s="10" t="s">
        <v>25</v>
      </c>
      <c r="D40" s="3">
        <f ca="1">D25</f>
        <v>665</v>
      </c>
      <c r="E40" s="3">
        <f t="shared" ref="E40:Y40" ca="1" si="60">E25</f>
        <v>73</v>
      </c>
      <c r="F40" s="3">
        <f t="shared" ca="1" si="60"/>
        <v>73</v>
      </c>
      <c r="G40" s="3">
        <f t="shared" ca="1" si="60"/>
        <v>73</v>
      </c>
      <c r="H40" s="3">
        <f t="shared" ca="1" si="60"/>
        <v>73</v>
      </c>
      <c r="I40" s="3">
        <f t="shared" ca="1" si="60"/>
        <v>73</v>
      </c>
      <c r="J40" s="3">
        <f t="shared" ca="1" si="60"/>
        <v>73</v>
      </c>
      <c r="K40" s="3">
        <f t="shared" ca="1" si="60"/>
        <v>73</v>
      </c>
      <c r="L40" s="3">
        <f t="shared" ca="1" si="60"/>
        <v>73</v>
      </c>
      <c r="M40" s="3">
        <f t="shared" ca="1" si="60"/>
        <v>81</v>
      </c>
      <c r="N40" s="3">
        <f t="shared" ca="1" si="60"/>
        <v>110</v>
      </c>
      <c r="O40" s="3">
        <f t="shared" ca="1" si="60"/>
        <v>110</v>
      </c>
      <c r="P40" s="3">
        <f t="shared" ca="1" si="60"/>
        <v>110</v>
      </c>
      <c r="Q40" s="3">
        <f t="shared" ca="1" si="60"/>
        <v>110</v>
      </c>
      <c r="R40" s="3">
        <f t="shared" ca="1" si="60"/>
        <v>110</v>
      </c>
      <c r="S40" s="3">
        <f t="shared" ca="1" si="60"/>
        <v>115</v>
      </c>
      <c r="T40" s="3">
        <f t="shared" ca="1" si="60"/>
        <v>110</v>
      </c>
      <c r="U40" s="3">
        <f t="shared" ca="1" si="60"/>
        <v>110</v>
      </c>
      <c r="V40" s="3">
        <f t="shared" ca="1" si="60"/>
        <v>110</v>
      </c>
      <c r="W40" s="3">
        <f t="shared" ca="1" si="60"/>
        <v>110</v>
      </c>
      <c r="X40" s="3">
        <f t="shared" ca="1" si="60"/>
        <v>110</v>
      </c>
      <c r="Y40" s="3">
        <f t="shared" ca="1" si="60"/>
        <v>115</v>
      </c>
    </row>
    <row r="41" spans="1:25" ht="30" x14ac:dyDescent="0.25">
      <c r="A41" s="33"/>
      <c r="B41" s="33"/>
      <c r="C41" s="17" t="s">
        <v>109</v>
      </c>
      <c r="D41" s="5">
        <f t="shared" ref="D41:Y41" ca="1" si="61">IFERROR(D39/D40*1000,0)</f>
        <v>102.25563909774436</v>
      </c>
      <c r="E41" s="5">
        <f t="shared" ca="1" si="61"/>
        <v>95.890410958904098</v>
      </c>
      <c r="F41" s="5">
        <f t="shared" ca="1" si="61"/>
        <v>95.890410958904098</v>
      </c>
      <c r="G41" s="5">
        <f t="shared" ca="1" si="61"/>
        <v>95.890410958904098</v>
      </c>
      <c r="H41" s="5">
        <f t="shared" ca="1" si="61"/>
        <v>95.890410958904098</v>
      </c>
      <c r="I41" s="5">
        <f t="shared" ca="1" si="61"/>
        <v>95.890410958904098</v>
      </c>
      <c r="J41" s="5">
        <f t="shared" ca="1" si="61"/>
        <v>95.890410958904098</v>
      </c>
      <c r="K41" s="5">
        <f t="shared" ca="1" si="61"/>
        <v>95.890410958904098</v>
      </c>
      <c r="L41" s="5">
        <f t="shared" ca="1" si="61"/>
        <v>95.890410958904098</v>
      </c>
      <c r="M41" s="5">
        <f t="shared" ca="1" si="61"/>
        <v>148.14814814814815</v>
      </c>
      <c r="N41" s="5">
        <f t="shared" ca="1" si="61"/>
        <v>100</v>
      </c>
      <c r="O41" s="5">
        <f t="shared" ca="1" si="61"/>
        <v>100</v>
      </c>
      <c r="P41" s="5">
        <f t="shared" ca="1" si="61"/>
        <v>100</v>
      </c>
      <c r="Q41" s="5">
        <f t="shared" ca="1" si="61"/>
        <v>100</v>
      </c>
      <c r="R41" s="5">
        <f t="shared" ca="1" si="61"/>
        <v>100</v>
      </c>
      <c r="S41" s="5">
        <f t="shared" ca="1" si="61"/>
        <v>113.04347826086956</v>
      </c>
      <c r="T41" s="5">
        <f t="shared" ca="1" si="61"/>
        <v>100</v>
      </c>
      <c r="U41" s="5">
        <f t="shared" ca="1" si="61"/>
        <v>100</v>
      </c>
      <c r="V41" s="5">
        <f t="shared" ca="1" si="61"/>
        <v>100</v>
      </c>
      <c r="W41" s="5">
        <f t="shared" ca="1" si="61"/>
        <v>100</v>
      </c>
      <c r="X41" s="5">
        <f t="shared" ca="1" si="61"/>
        <v>100</v>
      </c>
      <c r="Y41" s="5">
        <f t="shared" ca="1" si="61"/>
        <v>113.04347826086956</v>
      </c>
    </row>
    <row r="42" spans="1:25" ht="30" x14ac:dyDescent="0.25">
      <c r="A42" s="33" t="s">
        <v>36</v>
      </c>
      <c r="B42" s="33" t="s">
        <v>26</v>
      </c>
      <c r="C42" s="10" t="s">
        <v>103</v>
      </c>
      <c r="D42" s="8">
        <f ca="1">RANDBETWEEN(D43*0.1,D43*0.2)</f>
        <v>102</v>
      </c>
      <c r="E42" s="8">
        <f ca="1">FLOOR($D42/9,1)</f>
        <v>11</v>
      </c>
      <c r="F42" s="8">
        <f t="shared" ref="F42:L42" ca="1" si="62">FLOOR($D42/9,1)</f>
        <v>11</v>
      </c>
      <c r="G42" s="8">
        <f t="shared" ca="1" si="62"/>
        <v>11</v>
      </c>
      <c r="H42" s="8">
        <f t="shared" ca="1" si="62"/>
        <v>11</v>
      </c>
      <c r="I42" s="8">
        <f t="shared" ca="1" si="62"/>
        <v>11</v>
      </c>
      <c r="J42" s="8">
        <f t="shared" ca="1" si="62"/>
        <v>11</v>
      </c>
      <c r="K42" s="8">
        <f t="shared" ca="1" si="62"/>
        <v>11</v>
      </c>
      <c r="L42" s="8">
        <f t="shared" ca="1" si="62"/>
        <v>11</v>
      </c>
      <c r="M42" s="8">
        <f ca="1">$D42-SUM(E42:L42)</f>
        <v>14</v>
      </c>
      <c r="N42" s="8">
        <f t="shared" ref="N42:R42" ca="1" si="63">FLOOR($D42/6,1)</f>
        <v>17</v>
      </c>
      <c r="O42" s="8">
        <f t="shared" ca="1" si="63"/>
        <v>17</v>
      </c>
      <c r="P42" s="8">
        <f t="shared" ca="1" si="63"/>
        <v>17</v>
      </c>
      <c r="Q42" s="8">
        <f t="shared" ca="1" si="63"/>
        <v>17</v>
      </c>
      <c r="R42" s="8">
        <f t="shared" ca="1" si="63"/>
        <v>17</v>
      </c>
      <c r="S42" s="8">
        <f ca="1">$D42-SUM(N42:R42)</f>
        <v>17</v>
      </c>
      <c r="T42" s="8">
        <f t="shared" ref="T42:X42" ca="1" si="64">FLOOR($D42/6, 1)</f>
        <v>17</v>
      </c>
      <c r="U42" s="8">
        <f t="shared" ca="1" si="64"/>
        <v>17</v>
      </c>
      <c r="V42" s="8">
        <f t="shared" ca="1" si="64"/>
        <v>17</v>
      </c>
      <c r="W42" s="8">
        <f t="shared" ca="1" si="64"/>
        <v>17</v>
      </c>
      <c r="X42" s="8">
        <f t="shared" ca="1" si="64"/>
        <v>17</v>
      </c>
      <c r="Y42" s="8">
        <f ca="1">$D42-SUM(T42:X42)</f>
        <v>17</v>
      </c>
    </row>
    <row r="43" spans="1:25" x14ac:dyDescent="0.25">
      <c r="A43" s="33"/>
      <c r="B43" s="33"/>
      <c r="C43" s="10" t="s">
        <v>25</v>
      </c>
      <c r="D43" s="5">
        <f t="shared" ref="D43:Y43" ca="1" si="65">D7</f>
        <v>665</v>
      </c>
      <c r="E43" s="5">
        <f t="shared" ca="1" si="65"/>
        <v>73</v>
      </c>
      <c r="F43" s="5">
        <f t="shared" ca="1" si="65"/>
        <v>73</v>
      </c>
      <c r="G43" s="5">
        <f t="shared" ca="1" si="65"/>
        <v>73</v>
      </c>
      <c r="H43" s="5">
        <f t="shared" ca="1" si="65"/>
        <v>73</v>
      </c>
      <c r="I43" s="5">
        <f t="shared" ca="1" si="65"/>
        <v>73</v>
      </c>
      <c r="J43" s="5">
        <f t="shared" ca="1" si="65"/>
        <v>73</v>
      </c>
      <c r="K43" s="5">
        <f t="shared" ca="1" si="65"/>
        <v>73</v>
      </c>
      <c r="L43" s="5">
        <f t="shared" ca="1" si="65"/>
        <v>73</v>
      </c>
      <c r="M43" s="5">
        <f t="shared" ca="1" si="65"/>
        <v>81</v>
      </c>
      <c r="N43" s="5">
        <f t="shared" ca="1" si="65"/>
        <v>110</v>
      </c>
      <c r="O43" s="5">
        <f t="shared" ca="1" si="65"/>
        <v>110</v>
      </c>
      <c r="P43" s="5">
        <f t="shared" ca="1" si="65"/>
        <v>110</v>
      </c>
      <c r="Q43" s="5">
        <f t="shared" ca="1" si="65"/>
        <v>110</v>
      </c>
      <c r="R43" s="5">
        <f t="shared" ca="1" si="65"/>
        <v>110</v>
      </c>
      <c r="S43" s="5">
        <f t="shared" ca="1" si="65"/>
        <v>115</v>
      </c>
      <c r="T43" s="5">
        <f t="shared" ca="1" si="65"/>
        <v>110</v>
      </c>
      <c r="U43" s="5">
        <f t="shared" ca="1" si="65"/>
        <v>110</v>
      </c>
      <c r="V43" s="5">
        <f t="shared" ca="1" si="65"/>
        <v>110</v>
      </c>
      <c r="W43" s="5">
        <f t="shared" ca="1" si="65"/>
        <v>110</v>
      </c>
      <c r="X43" s="5">
        <f t="shared" ca="1" si="65"/>
        <v>110</v>
      </c>
      <c r="Y43" s="5">
        <f t="shared" ca="1" si="65"/>
        <v>115</v>
      </c>
    </row>
    <row r="44" spans="1:25" ht="30" x14ac:dyDescent="0.25">
      <c r="A44" s="33"/>
      <c r="B44" s="33"/>
      <c r="C44" s="17" t="s">
        <v>103</v>
      </c>
      <c r="D44" s="5">
        <f t="shared" ref="D44:Y44" ca="1" si="66">IFERROR(D42/D43*1000,0)</f>
        <v>153.38345864661653</v>
      </c>
      <c r="E44" s="5">
        <f t="shared" ca="1" si="66"/>
        <v>150.6849315068493</v>
      </c>
      <c r="F44" s="5">
        <f t="shared" ca="1" si="66"/>
        <v>150.6849315068493</v>
      </c>
      <c r="G44" s="5">
        <f t="shared" ca="1" si="66"/>
        <v>150.6849315068493</v>
      </c>
      <c r="H44" s="5">
        <f t="shared" ca="1" si="66"/>
        <v>150.6849315068493</v>
      </c>
      <c r="I44" s="5">
        <f t="shared" ca="1" si="66"/>
        <v>150.6849315068493</v>
      </c>
      <c r="J44" s="5">
        <f t="shared" ca="1" si="66"/>
        <v>150.6849315068493</v>
      </c>
      <c r="K44" s="5">
        <f t="shared" ca="1" si="66"/>
        <v>150.6849315068493</v>
      </c>
      <c r="L44" s="5">
        <f t="shared" ca="1" si="66"/>
        <v>150.6849315068493</v>
      </c>
      <c r="M44" s="5">
        <f t="shared" ca="1" si="66"/>
        <v>172.83950617283949</v>
      </c>
      <c r="N44" s="5">
        <f t="shared" ca="1" si="66"/>
        <v>154.54545454545453</v>
      </c>
      <c r="O44" s="5">
        <f t="shared" ca="1" si="66"/>
        <v>154.54545454545453</v>
      </c>
      <c r="P44" s="5">
        <f t="shared" ca="1" si="66"/>
        <v>154.54545454545453</v>
      </c>
      <c r="Q44" s="5">
        <f t="shared" ca="1" si="66"/>
        <v>154.54545454545453</v>
      </c>
      <c r="R44" s="5">
        <f t="shared" ca="1" si="66"/>
        <v>154.54545454545453</v>
      </c>
      <c r="S44" s="5">
        <f t="shared" ca="1" si="66"/>
        <v>147.82608695652175</v>
      </c>
      <c r="T44" s="5">
        <f t="shared" ca="1" si="66"/>
        <v>154.54545454545453</v>
      </c>
      <c r="U44" s="5">
        <f t="shared" ca="1" si="66"/>
        <v>154.54545454545453</v>
      </c>
      <c r="V44" s="5">
        <f t="shared" ca="1" si="66"/>
        <v>154.54545454545453</v>
      </c>
      <c r="W44" s="5">
        <f t="shared" ca="1" si="66"/>
        <v>154.54545454545453</v>
      </c>
      <c r="X44" s="5">
        <f t="shared" ca="1" si="66"/>
        <v>154.54545454545453</v>
      </c>
      <c r="Y44" s="5">
        <f t="shared" ca="1" si="66"/>
        <v>147.82608695652175</v>
      </c>
    </row>
    <row r="45" spans="1:25" ht="30" x14ac:dyDescent="0.25">
      <c r="A45" s="32" t="s">
        <v>36</v>
      </c>
      <c r="B45" s="32" t="s">
        <v>26</v>
      </c>
      <c r="C45" s="10" t="s">
        <v>105</v>
      </c>
      <c r="D45" s="8">
        <f ca="1">RANDBETWEEN(D46*0.6,D46*0.7)</f>
        <v>405</v>
      </c>
      <c r="E45" s="8">
        <f ca="1">FLOOR($D45/9,1)</f>
        <v>45</v>
      </c>
      <c r="F45" s="8">
        <f t="shared" ref="F45:L45" ca="1" si="67">FLOOR($D45/9,1)</f>
        <v>45</v>
      </c>
      <c r="G45" s="8">
        <f t="shared" ca="1" si="67"/>
        <v>45</v>
      </c>
      <c r="H45" s="8">
        <f t="shared" ca="1" si="67"/>
        <v>45</v>
      </c>
      <c r="I45" s="8">
        <f t="shared" ca="1" si="67"/>
        <v>45</v>
      </c>
      <c r="J45" s="8">
        <f t="shared" ca="1" si="67"/>
        <v>45</v>
      </c>
      <c r="K45" s="8">
        <f t="shared" ca="1" si="67"/>
        <v>45</v>
      </c>
      <c r="L45" s="8">
        <f t="shared" ca="1" si="67"/>
        <v>45</v>
      </c>
      <c r="M45" s="8">
        <f ca="1">$D45-SUM(E45:L45)</f>
        <v>45</v>
      </c>
      <c r="N45" s="8">
        <f t="shared" ref="N45:R45" ca="1" si="68">FLOOR($D45/6,1)</f>
        <v>67</v>
      </c>
      <c r="O45" s="8">
        <f t="shared" ca="1" si="68"/>
        <v>67</v>
      </c>
      <c r="P45" s="8">
        <f t="shared" ca="1" si="68"/>
        <v>67</v>
      </c>
      <c r="Q45" s="8">
        <f t="shared" ca="1" si="68"/>
        <v>67</v>
      </c>
      <c r="R45" s="8">
        <f t="shared" ca="1" si="68"/>
        <v>67</v>
      </c>
      <c r="S45" s="8">
        <f ca="1">$D45-SUM(N45:R45)</f>
        <v>70</v>
      </c>
      <c r="T45" s="8">
        <f t="shared" ref="T45:X45" ca="1" si="69">FLOOR($D45/6, 1)</f>
        <v>67</v>
      </c>
      <c r="U45" s="8">
        <f t="shared" ca="1" si="69"/>
        <v>67</v>
      </c>
      <c r="V45" s="8">
        <f t="shared" ca="1" si="69"/>
        <v>67</v>
      </c>
      <c r="W45" s="8">
        <f t="shared" ca="1" si="69"/>
        <v>67</v>
      </c>
      <c r="X45" s="8">
        <f t="shared" ca="1" si="69"/>
        <v>67</v>
      </c>
      <c r="Y45" s="8">
        <f ca="1">$D45-SUM(T45:X45)</f>
        <v>70</v>
      </c>
    </row>
    <row r="46" spans="1:25" x14ac:dyDescent="0.25">
      <c r="A46" s="32"/>
      <c r="B46" s="32"/>
      <c r="C46" s="10" t="s">
        <v>25</v>
      </c>
      <c r="D46" s="3">
        <f ca="1">D43</f>
        <v>665</v>
      </c>
      <c r="E46" s="3">
        <f t="shared" ref="E46:Y46" ca="1" si="70">E43</f>
        <v>73</v>
      </c>
      <c r="F46" s="3">
        <f t="shared" ca="1" si="70"/>
        <v>73</v>
      </c>
      <c r="G46" s="3">
        <f t="shared" ca="1" si="70"/>
        <v>73</v>
      </c>
      <c r="H46" s="3">
        <f t="shared" ca="1" si="70"/>
        <v>73</v>
      </c>
      <c r="I46" s="3">
        <f t="shared" ca="1" si="70"/>
        <v>73</v>
      </c>
      <c r="J46" s="3">
        <f t="shared" ca="1" si="70"/>
        <v>73</v>
      </c>
      <c r="K46" s="3">
        <f t="shared" ca="1" si="70"/>
        <v>73</v>
      </c>
      <c r="L46" s="3">
        <f t="shared" ca="1" si="70"/>
        <v>73</v>
      </c>
      <c r="M46" s="3">
        <f t="shared" ca="1" si="70"/>
        <v>81</v>
      </c>
      <c r="N46" s="3">
        <f t="shared" ca="1" si="70"/>
        <v>110</v>
      </c>
      <c r="O46" s="3">
        <f t="shared" ca="1" si="70"/>
        <v>110</v>
      </c>
      <c r="P46" s="3">
        <f t="shared" ca="1" si="70"/>
        <v>110</v>
      </c>
      <c r="Q46" s="3">
        <f t="shared" ca="1" si="70"/>
        <v>110</v>
      </c>
      <c r="R46" s="3">
        <f t="shared" ca="1" si="70"/>
        <v>110</v>
      </c>
      <c r="S46" s="3">
        <f t="shared" ca="1" si="70"/>
        <v>115</v>
      </c>
      <c r="T46" s="3">
        <f t="shared" ca="1" si="70"/>
        <v>110</v>
      </c>
      <c r="U46" s="3">
        <f t="shared" ca="1" si="70"/>
        <v>110</v>
      </c>
      <c r="V46" s="3">
        <f t="shared" ca="1" si="70"/>
        <v>110</v>
      </c>
      <c r="W46" s="3">
        <f t="shared" ca="1" si="70"/>
        <v>110</v>
      </c>
      <c r="X46" s="3">
        <f t="shared" ca="1" si="70"/>
        <v>110</v>
      </c>
      <c r="Y46" s="3">
        <f t="shared" ca="1" si="70"/>
        <v>115</v>
      </c>
    </row>
    <row r="47" spans="1:25" ht="30" x14ac:dyDescent="0.25">
      <c r="A47" s="32"/>
      <c r="B47" s="32"/>
      <c r="C47" s="17" t="s">
        <v>104</v>
      </c>
      <c r="D47" s="5">
        <f ca="1">IFERROR(D45/D46*1000,0)</f>
        <v>609.02255639097746</v>
      </c>
      <c r="E47" s="5">
        <f t="shared" ref="E47:Y47" ca="1" si="71">IFERROR(E45/E46*1000,0)</f>
        <v>616.43835616438355</v>
      </c>
      <c r="F47" s="5">
        <f t="shared" ca="1" si="71"/>
        <v>616.43835616438355</v>
      </c>
      <c r="G47" s="5">
        <f t="shared" ca="1" si="71"/>
        <v>616.43835616438355</v>
      </c>
      <c r="H47" s="5">
        <f t="shared" ca="1" si="71"/>
        <v>616.43835616438355</v>
      </c>
      <c r="I47" s="5">
        <f t="shared" ca="1" si="71"/>
        <v>616.43835616438355</v>
      </c>
      <c r="J47" s="5">
        <f t="shared" ca="1" si="71"/>
        <v>616.43835616438355</v>
      </c>
      <c r="K47" s="5">
        <f t="shared" ca="1" si="71"/>
        <v>616.43835616438355</v>
      </c>
      <c r="L47" s="5">
        <f t="shared" ca="1" si="71"/>
        <v>616.43835616438355</v>
      </c>
      <c r="M47" s="5">
        <f t="shared" ca="1" si="71"/>
        <v>555.55555555555554</v>
      </c>
      <c r="N47" s="5">
        <f t="shared" ca="1" si="71"/>
        <v>609.09090909090912</v>
      </c>
      <c r="O47" s="5">
        <f t="shared" ca="1" si="71"/>
        <v>609.09090909090912</v>
      </c>
      <c r="P47" s="5">
        <f t="shared" ca="1" si="71"/>
        <v>609.09090909090912</v>
      </c>
      <c r="Q47" s="5">
        <f t="shared" ca="1" si="71"/>
        <v>609.09090909090912</v>
      </c>
      <c r="R47" s="5">
        <f t="shared" ca="1" si="71"/>
        <v>609.09090909090912</v>
      </c>
      <c r="S47" s="5">
        <f t="shared" ca="1" si="71"/>
        <v>608.69565217391312</v>
      </c>
      <c r="T47" s="5">
        <f t="shared" ca="1" si="71"/>
        <v>609.09090909090912</v>
      </c>
      <c r="U47" s="5">
        <f t="shared" ca="1" si="71"/>
        <v>609.09090909090912</v>
      </c>
      <c r="V47" s="5">
        <f t="shared" ca="1" si="71"/>
        <v>609.09090909090912</v>
      </c>
      <c r="W47" s="5">
        <f t="shared" ca="1" si="71"/>
        <v>609.09090909090912</v>
      </c>
      <c r="X47" s="5">
        <f t="shared" ca="1" si="71"/>
        <v>609.09090909090912</v>
      </c>
      <c r="Y47" s="5">
        <f t="shared" ca="1" si="71"/>
        <v>608.69565217391312</v>
      </c>
    </row>
    <row r="48" spans="1:25" x14ac:dyDescent="0.25">
      <c r="A48" s="9" t="s">
        <v>32</v>
      </c>
      <c r="B48" s="9" t="s">
        <v>33</v>
      </c>
      <c r="C48" s="10" t="s">
        <v>34</v>
      </c>
      <c r="D48" s="8">
        <f ca="1">D7</f>
        <v>665</v>
      </c>
      <c r="E48" s="8">
        <f t="shared" ref="E48:Y48" ca="1" si="72">E7</f>
        <v>73</v>
      </c>
      <c r="F48" s="8">
        <f t="shared" ca="1" si="72"/>
        <v>73</v>
      </c>
      <c r="G48" s="8">
        <f t="shared" ca="1" si="72"/>
        <v>73</v>
      </c>
      <c r="H48" s="8">
        <f t="shared" ca="1" si="72"/>
        <v>73</v>
      </c>
      <c r="I48" s="8">
        <f t="shared" ca="1" si="72"/>
        <v>73</v>
      </c>
      <c r="J48" s="8">
        <f t="shared" ca="1" si="72"/>
        <v>73</v>
      </c>
      <c r="K48" s="8">
        <f t="shared" ca="1" si="72"/>
        <v>73</v>
      </c>
      <c r="L48" s="8">
        <f t="shared" ca="1" si="72"/>
        <v>73</v>
      </c>
      <c r="M48" s="8">
        <f t="shared" ca="1" si="72"/>
        <v>81</v>
      </c>
      <c r="N48" s="8">
        <f t="shared" ca="1" si="72"/>
        <v>110</v>
      </c>
      <c r="O48" s="8">
        <f t="shared" ca="1" si="72"/>
        <v>110</v>
      </c>
      <c r="P48" s="8">
        <f t="shared" ca="1" si="72"/>
        <v>110</v>
      </c>
      <c r="Q48" s="8">
        <f t="shared" ca="1" si="72"/>
        <v>110</v>
      </c>
      <c r="R48" s="8">
        <f t="shared" ca="1" si="72"/>
        <v>110</v>
      </c>
      <c r="S48" s="8">
        <f t="shared" ca="1" si="72"/>
        <v>115</v>
      </c>
      <c r="T48" s="8">
        <f t="shared" ca="1" si="72"/>
        <v>110</v>
      </c>
      <c r="U48" s="8">
        <f t="shared" ca="1" si="72"/>
        <v>110</v>
      </c>
      <c r="V48" s="8">
        <f t="shared" ca="1" si="72"/>
        <v>110</v>
      </c>
      <c r="W48" s="8">
        <f t="shared" ca="1" si="72"/>
        <v>110</v>
      </c>
      <c r="X48" s="8">
        <f t="shared" ca="1" si="72"/>
        <v>110</v>
      </c>
      <c r="Y48" s="8">
        <f t="shared" ca="1" si="72"/>
        <v>115</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2026-01-22T11:44:43Z</dcterms:modified>
</cp:coreProperties>
</file>